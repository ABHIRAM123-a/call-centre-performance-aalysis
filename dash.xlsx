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shiramdasuabhiram/Downloads/"/>
    </mc:Choice>
  </mc:AlternateContent>
  <xr:revisionPtr revIDLastSave="0" documentId="13_ncr:1_{9BEBEE9B-DCC1-A14C-899E-E4078C5A4B09}" xr6:coauthVersionLast="47" xr6:coauthVersionMax="47" xr10:uidLastSave="{00000000-0000-0000-0000-000000000000}"/>
  <bookViews>
    <workbookView xWindow="0" yWindow="760" windowWidth="29400" windowHeight="16860" activeTab="3" xr2:uid="{26D4546B-D2A1-4444-8EAF-A6228F96F0C1}"/>
  </bookViews>
  <sheets>
    <sheet name="Sheet2" sheetId="6" r:id="rId1"/>
    <sheet name="Sheet3" sheetId="7" r:id="rId2"/>
    <sheet name="Sheet4" sheetId="8" r:id="rId3"/>
    <sheet name="Data" sheetId="2" r:id="rId4"/>
    <sheet name="Dashboard" sheetId="5" r:id="rId5"/>
    <sheet name="Assets" sheetId="4" r:id="rId6"/>
  </sheets>
  <definedNames>
    <definedName name="_xlnm._FilterDatabase" localSheetId="3" hidden="1">Data!$B$3:$H$1003</definedName>
    <definedName name="Slicer_Representativ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1" i="8" l="1"/>
  <c r="I83" i="8"/>
  <c r="M37" i="5" s="1"/>
  <c r="I71" i="8"/>
  <c r="I78" i="8" s="1"/>
  <c r="M42" i="5" s="1"/>
  <c r="P24" i="5" a="1"/>
  <c r="P24" i="5" s="1"/>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4"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F55" i="8" a="1"/>
  <c r="F55" i="8" s="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Q294" i="2"/>
  <c r="Q394" i="2"/>
  <c r="Q413" i="2"/>
  <c r="Q444" i="2"/>
  <c r="Q463" i="2"/>
  <c r="Q474" i="2"/>
  <c r="Q513" i="2"/>
  <c r="Q524" i="2"/>
  <c r="Q563" i="2"/>
  <c r="Q574" i="2"/>
  <c r="Q613" i="2"/>
  <c r="Q624" i="2"/>
  <c r="Q663" i="2"/>
  <c r="Q674" i="2"/>
  <c r="Q713" i="2"/>
  <c r="Q724" i="2"/>
  <c r="Q763" i="2"/>
  <c r="Q774" i="2"/>
  <c r="Q813" i="2"/>
  <c r="Q824" i="2"/>
  <c r="L4" i="2"/>
  <c r="Q4" i="2" s="1"/>
  <c r="L5" i="2"/>
  <c r="Q5" i="2" s="1"/>
  <c r="L6" i="2"/>
  <c r="Q6" i="2" s="1"/>
  <c r="L7" i="2"/>
  <c r="Q7" i="2" s="1"/>
  <c r="L8" i="2"/>
  <c r="Q8" i="2" s="1"/>
  <c r="L9" i="2"/>
  <c r="Q9" i="2" s="1"/>
  <c r="L10" i="2"/>
  <c r="Q10" i="2" s="1"/>
  <c r="L11" i="2"/>
  <c r="Q11" i="2" s="1"/>
  <c r="L12" i="2"/>
  <c r="Q12" i="2" s="1"/>
  <c r="L13" i="2"/>
  <c r="Q13" i="2" s="1"/>
  <c r="L14" i="2"/>
  <c r="Q14" i="2" s="1"/>
  <c r="L15" i="2"/>
  <c r="Q15" i="2" s="1"/>
  <c r="L16" i="2"/>
  <c r="Q16" i="2" s="1"/>
  <c r="L17" i="2"/>
  <c r="Q17" i="2" s="1"/>
  <c r="L18" i="2"/>
  <c r="Q18" i="2" s="1"/>
  <c r="L19" i="2"/>
  <c r="Q19" i="2" s="1"/>
  <c r="L20" i="2"/>
  <c r="Q20" i="2" s="1"/>
  <c r="L21" i="2"/>
  <c r="Q21" i="2" s="1"/>
  <c r="L22" i="2"/>
  <c r="Q22" i="2" s="1"/>
  <c r="L23" i="2"/>
  <c r="Q23" i="2" s="1"/>
  <c r="L24" i="2"/>
  <c r="Q24" i="2" s="1"/>
  <c r="L25" i="2"/>
  <c r="Q25" i="2" s="1"/>
  <c r="L26" i="2"/>
  <c r="Q26" i="2" s="1"/>
  <c r="L27" i="2"/>
  <c r="Q27" i="2" s="1"/>
  <c r="L28" i="2"/>
  <c r="Q28" i="2" s="1"/>
  <c r="L29" i="2"/>
  <c r="Q29" i="2" s="1"/>
  <c r="L30" i="2"/>
  <c r="Q30" i="2" s="1"/>
  <c r="L31" i="2"/>
  <c r="Q31" i="2" s="1"/>
  <c r="L32" i="2"/>
  <c r="Q32" i="2" s="1"/>
  <c r="L33" i="2"/>
  <c r="Q33" i="2" s="1"/>
  <c r="L34" i="2"/>
  <c r="Q34" i="2" s="1"/>
  <c r="L35" i="2"/>
  <c r="Q35" i="2" s="1"/>
  <c r="L36" i="2"/>
  <c r="Q36" i="2" s="1"/>
  <c r="L37" i="2"/>
  <c r="Q37" i="2" s="1"/>
  <c r="L38" i="2"/>
  <c r="Q38" i="2" s="1"/>
  <c r="L39" i="2"/>
  <c r="Q39" i="2" s="1"/>
  <c r="L40" i="2"/>
  <c r="Q40" i="2" s="1"/>
  <c r="L41" i="2"/>
  <c r="Q41" i="2" s="1"/>
  <c r="L42" i="2"/>
  <c r="Q42" i="2" s="1"/>
  <c r="L43" i="2"/>
  <c r="Q43" i="2" s="1"/>
  <c r="L44" i="2"/>
  <c r="Q44" i="2" s="1"/>
  <c r="L45" i="2"/>
  <c r="Q45" i="2" s="1"/>
  <c r="L46" i="2"/>
  <c r="Q46" i="2" s="1"/>
  <c r="L47" i="2"/>
  <c r="Q47" i="2" s="1"/>
  <c r="L48" i="2"/>
  <c r="Q48" i="2" s="1"/>
  <c r="L49" i="2"/>
  <c r="Q49" i="2" s="1"/>
  <c r="L50" i="2"/>
  <c r="Q50" i="2" s="1"/>
  <c r="L51" i="2"/>
  <c r="Q51" i="2" s="1"/>
  <c r="L52" i="2"/>
  <c r="Q52" i="2" s="1"/>
  <c r="L53" i="2"/>
  <c r="Q53" i="2" s="1"/>
  <c r="L54" i="2"/>
  <c r="Q54" i="2" s="1"/>
  <c r="L55" i="2"/>
  <c r="Q55" i="2" s="1"/>
  <c r="L56" i="2"/>
  <c r="Q56" i="2" s="1"/>
  <c r="L57" i="2"/>
  <c r="Q57" i="2" s="1"/>
  <c r="L58" i="2"/>
  <c r="Q58" i="2" s="1"/>
  <c r="L59" i="2"/>
  <c r="Q59" i="2" s="1"/>
  <c r="L60" i="2"/>
  <c r="Q60" i="2" s="1"/>
  <c r="L61" i="2"/>
  <c r="Q61" i="2" s="1"/>
  <c r="L62" i="2"/>
  <c r="Q62" i="2" s="1"/>
  <c r="L63" i="2"/>
  <c r="Q63" i="2" s="1"/>
  <c r="L64" i="2"/>
  <c r="Q64" i="2" s="1"/>
  <c r="L65" i="2"/>
  <c r="Q65" i="2" s="1"/>
  <c r="L66" i="2"/>
  <c r="Q66" i="2" s="1"/>
  <c r="L67" i="2"/>
  <c r="Q67" i="2" s="1"/>
  <c r="L68" i="2"/>
  <c r="Q68" i="2" s="1"/>
  <c r="L69" i="2"/>
  <c r="Q69" i="2" s="1"/>
  <c r="L70" i="2"/>
  <c r="Q70" i="2" s="1"/>
  <c r="L71" i="2"/>
  <c r="Q71" i="2" s="1"/>
  <c r="L72" i="2"/>
  <c r="Q72" i="2" s="1"/>
  <c r="L73" i="2"/>
  <c r="Q73" i="2" s="1"/>
  <c r="L74" i="2"/>
  <c r="Q74" i="2" s="1"/>
  <c r="L75" i="2"/>
  <c r="Q75" i="2" s="1"/>
  <c r="L76" i="2"/>
  <c r="Q76" i="2" s="1"/>
  <c r="L77" i="2"/>
  <c r="Q77" i="2" s="1"/>
  <c r="L78" i="2"/>
  <c r="Q78" i="2" s="1"/>
  <c r="L79" i="2"/>
  <c r="Q79" i="2" s="1"/>
  <c r="L80" i="2"/>
  <c r="Q80" i="2" s="1"/>
  <c r="L81" i="2"/>
  <c r="Q81" i="2" s="1"/>
  <c r="L82" i="2"/>
  <c r="Q82" i="2" s="1"/>
  <c r="L83" i="2"/>
  <c r="Q83" i="2" s="1"/>
  <c r="L84" i="2"/>
  <c r="Q84" i="2" s="1"/>
  <c r="L85" i="2"/>
  <c r="Q85" i="2" s="1"/>
  <c r="L86" i="2"/>
  <c r="Q86" i="2" s="1"/>
  <c r="L87" i="2"/>
  <c r="Q87" i="2" s="1"/>
  <c r="L88" i="2"/>
  <c r="Q88" i="2" s="1"/>
  <c r="L89" i="2"/>
  <c r="Q89" i="2" s="1"/>
  <c r="L90" i="2"/>
  <c r="Q90" i="2" s="1"/>
  <c r="L91" i="2"/>
  <c r="Q91" i="2" s="1"/>
  <c r="L92" i="2"/>
  <c r="Q92" i="2" s="1"/>
  <c r="L93" i="2"/>
  <c r="Q93" i="2" s="1"/>
  <c r="L94" i="2"/>
  <c r="Q94" i="2" s="1"/>
  <c r="L95" i="2"/>
  <c r="Q95" i="2" s="1"/>
  <c r="L96" i="2"/>
  <c r="Q96" i="2" s="1"/>
  <c r="L97" i="2"/>
  <c r="Q97" i="2" s="1"/>
  <c r="L98" i="2"/>
  <c r="Q98" i="2" s="1"/>
  <c r="L99" i="2"/>
  <c r="Q99" i="2" s="1"/>
  <c r="L100" i="2"/>
  <c r="Q100" i="2" s="1"/>
  <c r="L101" i="2"/>
  <c r="Q101" i="2" s="1"/>
  <c r="L102" i="2"/>
  <c r="Q102" i="2" s="1"/>
  <c r="L103" i="2"/>
  <c r="Q103" i="2" s="1"/>
  <c r="L104" i="2"/>
  <c r="Q104" i="2" s="1"/>
  <c r="L105" i="2"/>
  <c r="Q105" i="2" s="1"/>
  <c r="L106" i="2"/>
  <c r="Q106" i="2" s="1"/>
  <c r="L107" i="2"/>
  <c r="Q107" i="2" s="1"/>
  <c r="L108" i="2"/>
  <c r="Q108" i="2" s="1"/>
  <c r="L109" i="2"/>
  <c r="Q109" i="2" s="1"/>
  <c r="L110" i="2"/>
  <c r="Q110" i="2" s="1"/>
  <c r="L111" i="2"/>
  <c r="Q111" i="2" s="1"/>
  <c r="L112" i="2"/>
  <c r="Q112" i="2" s="1"/>
  <c r="L113" i="2"/>
  <c r="Q113" i="2" s="1"/>
  <c r="L114" i="2"/>
  <c r="Q114" i="2" s="1"/>
  <c r="L115" i="2"/>
  <c r="Q115" i="2" s="1"/>
  <c r="L116" i="2"/>
  <c r="Q116" i="2" s="1"/>
  <c r="L117" i="2"/>
  <c r="Q117" i="2" s="1"/>
  <c r="L118" i="2"/>
  <c r="Q118" i="2" s="1"/>
  <c r="L119" i="2"/>
  <c r="Q119" i="2" s="1"/>
  <c r="L120" i="2"/>
  <c r="Q120" i="2" s="1"/>
  <c r="L121" i="2"/>
  <c r="Q121" i="2" s="1"/>
  <c r="L122" i="2"/>
  <c r="Q122" i="2" s="1"/>
  <c r="L123" i="2"/>
  <c r="Q123" i="2" s="1"/>
  <c r="L124" i="2"/>
  <c r="Q124" i="2" s="1"/>
  <c r="L125" i="2"/>
  <c r="Q125" i="2" s="1"/>
  <c r="L126" i="2"/>
  <c r="Q126" i="2" s="1"/>
  <c r="L127" i="2"/>
  <c r="Q127" i="2" s="1"/>
  <c r="L128" i="2"/>
  <c r="Q128" i="2" s="1"/>
  <c r="L129" i="2"/>
  <c r="Q129" i="2" s="1"/>
  <c r="L130" i="2"/>
  <c r="Q130" i="2" s="1"/>
  <c r="L131" i="2"/>
  <c r="Q131" i="2" s="1"/>
  <c r="L132" i="2"/>
  <c r="Q132" i="2" s="1"/>
  <c r="L133" i="2"/>
  <c r="Q133" i="2" s="1"/>
  <c r="L134" i="2"/>
  <c r="Q134" i="2" s="1"/>
  <c r="L135" i="2"/>
  <c r="Q135" i="2" s="1"/>
  <c r="L136" i="2"/>
  <c r="Q136" i="2" s="1"/>
  <c r="L137" i="2"/>
  <c r="Q137" i="2" s="1"/>
  <c r="L138" i="2"/>
  <c r="Q138" i="2" s="1"/>
  <c r="L139" i="2"/>
  <c r="Q139" i="2" s="1"/>
  <c r="L140" i="2"/>
  <c r="Q140" i="2" s="1"/>
  <c r="L141" i="2"/>
  <c r="Q141" i="2" s="1"/>
  <c r="L142" i="2"/>
  <c r="Q142" i="2" s="1"/>
  <c r="L143" i="2"/>
  <c r="Q143" i="2" s="1"/>
  <c r="L144" i="2"/>
  <c r="Q144" i="2" s="1"/>
  <c r="L145" i="2"/>
  <c r="Q145" i="2" s="1"/>
  <c r="L146" i="2"/>
  <c r="Q146" i="2" s="1"/>
  <c r="L147" i="2"/>
  <c r="Q147" i="2" s="1"/>
  <c r="L148" i="2"/>
  <c r="Q148" i="2" s="1"/>
  <c r="L149" i="2"/>
  <c r="Q149" i="2" s="1"/>
  <c r="L150" i="2"/>
  <c r="Q150" i="2" s="1"/>
  <c r="L151" i="2"/>
  <c r="Q151" i="2" s="1"/>
  <c r="L152" i="2"/>
  <c r="Q152" i="2" s="1"/>
  <c r="L153" i="2"/>
  <c r="Q153" i="2" s="1"/>
  <c r="L154" i="2"/>
  <c r="Q154" i="2" s="1"/>
  <c r="L155" i="2"/>
  <c r="Q155" i="2" s="1"/>
  <c r="L156" i="2"/>
  <c r="Q156" i="2" s="1"/>
  <c r="L157" i="2"/>
  <c r="Q157" i="2" s="1"/>
  <c r="L158" i="2"/>
  <c r="Q158" i="2" s="1"/>
  <c r="L159" i="2"/>
  <c r="Q159" i="2" s="1"/>
  <c r="L160" i="2"/>
  <c r="Q160" i="2" s="1"/>
  <c r="L161" i="2"/>
  <c r="Q161" i="2" s="1"/>
  <c r="L162" i="2"/>
  <c r="Q162" i="2" s="1"/>
  <c r="L163" i="2"/>
  <c r="Q163" i="2" s="1"/>
  <c r="L164" i="2"/>
  <c r="Q164" i="2" s="1"/>
  <c r="L165" i="2"/>
  <c r="Q165" i="2" s="1"/>
  <c r="L166" i="2"/>
  <c r="Q166" i="2" s="1"/>
  <c r="L167" i="2"/>
  <c r="Q167" i="2" s="1"/>
  <c r="L168" i="2"/>
  <c r="Q168" i="2" s="1"/>
  <c r="L169" i="2"/>
  <c r="Q169" i="2" s="1"/>
  <c r="L170" i="2"/>
  <c r="Q170" i="2" s="1"/>
  <c r="L171" i="2"/>
  <c r="Q171" i="2" s="1"/>
  <c r="L172" i="2"/>
  <c r="Q172" i="2" s="1"/>
  <c r="L173" i="2"/>
  <c r="Q173" i="2" s="1"/>
  <c r="L174" i="2"/>
  <c r="Q174" i="2" s="1"/>
  <c r="L175" i="2"/>
  <c r="Q175" i="2" s="1"/>
  <c r="L176" i="2"/>
  <c r="Q176" i="2" s="1"/>
  <c r="L177" i="2"/>
  <c r="Q177" i="2" s="1"/>
  <c r="L178" i="2"/>
  <c r="Q178" i="2" s="1"/>
  <c r="L179" i="2"/>
  <c r="Q179" i="2" s="1"/>
  <c r="L180" i="2"/>
  <c r="Q180" i="2" s="1"/>
  <c r="L181" i="2"/>
  <c r="Q181" i="2" s="1"/>
  <c r="L182" i="2"/>
  <c r="Q182" i="2" s="1"/>
  <c r="L183" i="2"/>
  <c r="Q183" i="2" s="1"/>
  <c r="L184" i="2"/>
  <c r="Q184" i="2" s="1"/>
  <c r="L185" i="2"/>
  <c r="Q185" i="2" s="1"/>
  <c r="L186" i="2"/>
  <c r="Q186" i="2" s="1"/>
  <c r="L187" i="2"/>
  <c r="Q187" i="2" s="1"/>
  <c r="L188" i="2"/>
  <c r="Q188" i="2" s="1"/>
  <c r="L189" i="2"/>
  <c r="Q189" i="2" s="1"/>
  <c r="L190" i="2"/>
  <c r="Q190" i="2" s="1"/>
  <c r="L191" i="2"/>
  <c r="Q191" i="2" s="1"/>
  <c r="L192" i="2"/>
  <c r="Q192" i="2" s="1"/>
  <c r="L193" i="2"/>
  <c r="Q193" i="2" s="1"/>
  <c r="L194" i="2"/>
  <c r="Q194" i="2" s="1"/>
  <c r="L195" i="2"/>
  <c r="Q195" i="2" s="1"/>
  <c r="L196" i="2"/>
  <c r="Q196" i="2" s="1"/>
  <c r="L197" i="2"/>
  <c r="Q197" i="2" s="1"/>
  <c r="L198" i="2"/>
  <c r="Q198" i="2" s="1"/>
  <c r="L199" i="2"/>
  <c r="Q199" i="2" s="1"/>
  <c r="L200" i="2"/>
  <c r="Q200" i="2" s="1"/>
  <c r="L201" i="2"/>
  <c r="Q201" i="2" s="1"/>
  <c r="L202" i="2"/>
  <c r="Q202" i="2" s="1"/>
  <c r="L203" i="2"/>
  <c r="Q203" i="2" s="1"/>
  <c r="L204" i="2"/>
  <c r="Q204" i="2" s="1"/>
  <c r="L205" i="2"/>
  <c r="Q205" i="2" s="1"/>
  <c r="L206" i="2"/>
  <c r="Q206" i="2" s="1"/>
  <c r="L207" i="2"/>
  <c r="Q207" i="2" s="1"/>
  <c r="L208" i="2"/>
  <c r="Q208" i="2" s="1"/>
  <c r="L209" i="2"/>
  <c r="Q209" i="2" s="1"/>
  <c r="L210" i="2"/>
  <c r="Q210" i="2" s="1"/>
  <c r="L211" i="2"/>
  <c r="Q211" i="2" s="1"/>
  <c r="L212" i="2"/>
  <c r="Q212" i="2" s="1"/>
  <c r="L213" i="2"/>
  <c r="Q213" i="2" s="1"/>
  <c r="L214" i="2"/>
  <c r="Q214" i="2" s="1"/>
  <c r="L215" i="2"/>
  <c r="Q215" i="2" s="1"/>
  <c r="L216" i="2"/>
  <c r="Q216" i="2" s="1"/>
  <c r="L217" i="2"/>
  <c r="Q217" i="2" s="1"/>
  <c r="L218" i="2"/>
  <c r="Q218" i="2" s="1"/>
  <c r="L219" i="2"/>
  <c r="Q219" i="2" s="1"/>
  <c r="L220" i="2"/>
  <c r="Q220" i="2" s="1"/>
  <c r="L221" i="2"/>
  <c r="Q221" i="2" s="1"/>
  <c r="L222" i="2"/>
  <c r="Q222" i="2" s="1"/>
  <c r="L223" i="2"/>
  <c r="Q223" i="2" s="1"/>
  <c r="L224" i="2"/>
  <c r="Q224" i="2" s="1"/>
  <c r="L225" i="2"/>
  <c r="Q225" i="2" s="1"/>
  <c r="L226" i="2"/>
  <c r="Q226" i="2" s="1"/>
  <c r="L227" i="2"/>
  <c r="Q227" i="2" s="1"/>
  <c r="L228" i="2"/>
  <c r="Q228" i="2" s="1"/>
  <c r="L229" i="2"/>
  <c r="Q229" i="2" s="1"/>
  <c r="L230" i="2"/>
  <c r="Q230" i="2" s="1"/>
  <c r="L231" i="2"/>
  <c r="Q231" i="2" s="1"/>
  <c r="L232" i="2"/>
  <c r="Q232" i="2" s="1"/>
  <c r="L233" i="2"/>
  <c r="Q233" i="2" s="1"/>
  <c r="L234" i="2"/>
  <c r="Q234" i="2" s="1"/>
  <c r="L235" i="2"/>
  <c r="Q235" i="2" s="1"/>
  <c r="L236" i="2"/>
  <c r="Q236" i="2" s="1"/>
  <c r="L237" i="2"/>
  <c r="Q237" i="2" s="1"/>
  <c r="L238" i="2"/>
  <c r="Q238" i="2" s="1"/>
  <c r="L239" i="2"/>
  <c r="Q239" i="2" s="1"/>
  <c r="L240" i="2"/>
  <c r="Q240" i="2" s="1"/>
  <c r="L241" i="2"/>
  <c r="Q241" i="2" s="1"/>
  <c r="L242" i="2"/>
  <c r="Q242" i="2" s="1"/>
  <c r="L243" i="2"/>
  <c r="Q243" i="2" s="1"/>
  <c r="L244" i="2"/>
  <c r="Q244" i="2" s="1"/>
  <c r="L245" i="2"/>
  <c r="Q245" i="2" s="1"/>
  <c r="L246" i="2"/>
  <c r="Q246" i="2" s="1"/>
  <c r="L247" i="2"/>
  <c r="Q247" i="2" s="1"/>
  <c r="L248" i="2"/>
  <c r="Q248" i="2" s="1"/>
  <c r="L249" i="2"/>
  <c r="Q249" i="2" s="1"/>
  <c r="L250" i="2"/>
  <c r="Q250" i="2" s="1"/>
  <c r="L251" i="2"/>
  <c r="Q251" i="2" s="1"/>
  <c r="L252" i="2"/>
  <c r="Q252" i="2" s="1"/>
  <c r="L253" i="2"/>
  <c r="Q253" i="2" s="1"/>
  <c r="L254" i="2"/>
  <c r="Q254" i="2" s="1"/>
  <c r="L255" i="2"/>
  <c r="Q255" i="2" s="1"/>
  <c r="L256" i="2"/>
  <c r="Q256" i="2" s="1"/>
  <c r="L257" i="2"/>
  <c r="Q257" i="2" s="1"/>
  <c r="L258" i="2"/>
  <c r="Q258" i="2" s="1"/>
  <c r="L259" i="2"/>
  <c r="Q259" i="2" s="1"/>
  <c r="L260" i="2"/>
  <c r="Q260" i="2" s="1"/>
  <c r="L261" i="2"/>
  <c r="Q261" i="2" s="1"/>
  <c r="L262" i="2"/>
  <c r="Q262" i="2" s="1"/>
  <c r="L263" i="2"/>
  <c r="Q263" i="2" s="1"/>
  <c r="L264" i="2"/>
  <c r="Q264" i="2" s="1"/>
  <c r="L265" i="2"/>
  <c r="Q265" i="2" s="1"/>
  <c r="L266" i="2"/>
  <c r="Q266" i="2" s="1"/>
  <c r="L267" i="2"/>
  <c r="Q267" i="2" s="1"/>
  <c r="L268" i="2"/>
  <c r="Q268" i="2" s="1"/>
  <c r="L269" i="2"/>
  <c r="Q269" i="2" s="1"/>
  <c r="L270" i="2"/>
  <c r="Q270" i="2" s="1"/>
  <c r="L271" i="2"/>
  <c r="Q271" i="2" s="1"/>
  <c r="L272" i="2"/>
  <c r="Q272" i="2" s="1"/>
  <c r="L273" i="2"/>
  <c r="Q273" i="2" s="1"/>
  <c r="L274" i="2"/>
  <c r="Q274" i="2" s="1"/>
  <c r="L275" i="2"/>
  <c r="Q275" i="2" s="1"/>
  <c r="L276" i="2"/>
  <c r="Q276" i="2" s="1"/>
  <c r="L277" i="2"/>
  <c r="Q277" i="2" s="1"/>
  <c r="L278" i="2"/>
  <c r="Q278" i="2" s="1"/>
  <c r="L279" i="2"/>
  <c r="Q279" i="2" s="1"/>
  <c r="L280" i="2"/>
  <c r="Q280" i="2" s="1"/>
  <c r="L281" i="2"/>
  <c r="Q281" i="2" s="1"/>
  <c r="L282" i="2"/>
  <c r="Q282" i="2" s="1"/>
  <c r="L283" i="2"/>
  <c r="Q283" i="2" s="1"/>
  <c r="L284" i="2"/>
  <c r="Q284" i="2" s="1"/>
  <c r="L285" i="2"/>
  <c r="Q285" i="2" s="1"/>
  <c r="L286" i="2"/>
  <c r="Q286" i="2" s="1"/>
  <c r="L287" i="2"/>
  <c r="Q287" i="2" s="1"/>
  <c r="L288" i="2"/>
  <c r="Q288" i="2" s="1"/>
  <c r="L289" i="2"/>
  <c r="Q289" i="2" s="1"/>
  <c r="L290" i="2"/>
  <c r="Q290" i="2" s="1"/>
  <c r="L291" i="2"/>
  <c r="Q291" i="2" s="1"/>
  <c r="L292" i="2"/>
  <c r="Q292" i="2" s="1"/>
  <c r="L293" i="2"/>
  <c r="Q293" i="2" s="1"/>
  <c r="L294" i="2"/>
  <c r="L295" i="2"/>
  <c r="Q295" i="2" s="1"/>
  <c r="L296" i="2"/>
  <c r="Q296" i="2" s="1"/>
  <c r="L297" i="2"/>
  <c r="Q297" i="2" s="1"/>
  <c r="L298" i="2"/>
  <c r="Q298" i="2" s="1"/>
  <c r="L299" i="2"/>
  <c r="Q299" i="2" s="1"/>
  <c r="L300" i="2"/>
  <c r="Q300" i="2" s="1"/>
  <c r="L301" i="2"/>
  <c r="Q301" i="2" s="1"/>
  <c r="L302" i="2"/>
  <c r="Q302" i="2" s="1"/>
  <c r="L303" i="2"/>
  <c r="Q303" i="2" s="1"/>
  <c r="L304" i="2"/>
  <c r="Q304" i="2" s="1"/>
  <c r="L305" i="2"/>
  <c r="Q305" i="2" s="1"/>
  <c r="L306" i="2"/>
  <c r="Q306" i="2" s="1"/>
  <c r="L307" i="2"/>
  <c r="Q307" i="2" s="1"/>
  <c r="L308" i="2"/>
  <c r="Q308" i="2" s="1"/>
  <c r="L309" i="2"/>
  <c r="Q309" i="2" s="1"/>
  <c r="L310" i="2"/>
  <c r="Q310" i="2" s="1"/>
  <c r="L311" i="2"/>
  <c r="Q311" i="2" s="1"/>
  <c r="L312" i="2"/>
  <c r="Q312" i="2" s="1"/>
  <c r="L313" i="2"/>
  <c r="Q313" i="2" s="1"/>
  <c r="L314" i="2"/>
  <c r="Q314" i="2" s="1"/>
  <c r="L315" i="2"/>
  <c r="Q315" i="2" s="1"/>
  <c r="L316" i="2"/>
  <c r="Q316" i="2" s="1"/>
  <c r="L317" i="2"/>
  <c r="Q317" i="2" s="1"/>
  <c r="L318" i="2"/>
  <c r="Q318" i="2" s="1"/>
  <c r="L319" i="2"/>
  <c r="Q319" i="2" s="1"/>
  <c r="L320" i="2"/>
  <c r="Q320" i="2" s="1"/>
  <c r="L321" i="2"/>
  <c r="Q321" i="2" s="1"/>
  <c r="L322" i="2"/>
  <c r="Q322" i="2" s="1"/>
  <c r="L323" i="2"/>
  <c r="Q323" i="2" s="1"/>
  <c r="L324" i="2"/>
  <c r="Q324" i="2" s="1"/>
  <c r="L325" i="2"/>
  <c r="Q325" i="2" s="1"/>
  <c r="L326" i="2"/>
  <c r="Q326" i="2" s="1"/>
  <c r="L327" i="2"/>
  <c r="Q327" i="2" s="1"/>
  <c r="L328" i="2"/>
  <c r="Q328" i="2" s="1"/>
  <c r="L329" i="2"/>
  <c r="Q329" i="2" s="1"/>
  <c r="L330" i="2"/>
  <c r="Q330" i="2" s="1"/>
  <c r="L331" i="2"/>
  <c r="Q331" i="2" s="1"/>
  <c r="L332" i="2"/>
  <c r="Q332" i="2" s="1"/>
  <c r="L333" i="2"/>
  <c r="Q333" i="2" s="1"/>
  <c r="L334" i="2"/>
  <c r="Q334" i="2" s="1"/>
  <c r="L335" i="2"/>
  <c r="Q335" i="2" s="1"/>
  <c r="L336" i="2"/>
  <c r="Q336" i="2" s="1"/>
  <c r="L337" i="2"/>
  <c r="Q337" i="2" s="1"/>
  <c r="L338" i="2"/>
  <c r="Q338" i="2" s="1"/>
  <c r="L339" i="2"/>
  <c r="Q339" i="2" s="1"/>
  <c r="L340" i="2"/>
  <c r="Q340" i="2" s="1"/>
  <c r="L341" i="2"/>
  <c r="Q341" i="2" s="1"/>
  <c r="L342" i="2"/>
  <c r="Q342" i="2" s="1"/>
  <c r="L343" i="2"/>
  <c r="Q343" i="2" s="1"/>
  <c r="L344" i="2"/>
  <c r="Q344" i="2" s="1"/>
  <c r="L345" i="2"/>
  <c r="Q345" i="2" s="1"/>
  <c r="L346" i="2"/>
  <c r="Q346" i="2" s="1"/>
  <c r="L347" i="2"/>
  <c r="Q347" i="2" s="1"/>
  <c r="L348" i="2"/>
  <c r="Q348" i="2" s="1"/>
  <c r="L349" i="2"/>
  <c r="Q349" i="2" s="1"/>
  <c r="L350" i="2"/>
  <c r="Q350" i="2" s="1"/>
  <c r="L351" i="2"/>
  <c r="Q351" i="2" s="1"/>
  <c r="L352" i="2"/>
  <c r="Q352" i="2" s="1"/>
  <c r="L353" i="2"/>
  <c r="Q353" i="2" s="1"/>
  <c r="L354" i="2"/>
  <c r="Q354" i="2" s="1"/>
  <c r="L355" i="2"/>
  <c r="Q355" i="2" s="1"/>
  <c r="L356" i="2"/>
  <c r="Q356" i="2" s="1"/>
  <c r="L357" i="2"/>
  <c r="Q357" i="2" s="1"/>
  <c r="L358" i="2"/>
  <c r="Q358" i="2" s="1"/>
  <c r="L359" i="2"/>
  <c r="Q359" i="2" s="1"/>
  <c r="L360" i="2"/>
  <c r="Q360" i="2" s="1"/>
  <c r="L361" i="2"/>
  <c r="Q361" i="2" s="1"/>
  <c r="L362" i="2"/>
  <c r="Q362" i="2" s="1"/>
  <c r="L363" i="2"/>
  <c r="Q363" i="2" s="1"/>
  <c r="L364" i="2"/>
  <c r="Q364" i="2" s="1"/>
  <c r="L365" i="2"/>
  <c r="Q365" i="2" s="1"/>
  <c r="L366" i="2"/>
  <c r="Q366" i="2" s="1"/>
  <c r="L367" i="2"/>
  <c r="Q367" i="2" s="1"/>
  <c r="L368" i="2"/>
  <c r="Q368" i="2" s="1"/>
  <c r="L369" i="2"/>
  <c r="Q369" i="2" s="1"/>
  <c r="L370" i="2"/>
  <c r="Q370" i="2" s="1"/>
  <c r="L371" i="2"/>
  <c r="Q371" i="2" s="1"/>
  <c r="L372" i="2"/>
  <c r="Q372" i="2" s="1"/>
  <c r="L373" i="2"/>
  <c r="Q373" i="2" s="1"/>
  <c r="L374" i="2"/>
  <c r="Q374" i="2" s="1"/>
  <c r="L375" i="2"/>
  <c r="Q375" i="2" s="1"/>
  <c r="L376" i="2"/>
  <c r="Q376" i="2" s="1"/>
  <c r="L377" i="2"/>
  <c r="Q377" i="2" s="1"/>
  <c r="L378" i="2"/>
  <c r="Q378" i="2" s="1"/>
  <c r="L379" i="2"/>
  <c r="Q379" i="2" s="1"/>
  <c r="L380" i="2"/>
  <c r="Q380" i="2" s="1"/>
  <c r="L381" i="2"/>
  <c r="Q381" i="2" s="1"/>
  <c r="L382" i="2"/>
  <c r="Q382" i="2" s="1"/>
  <c r="L383" i="2"/>
  <c r="Q383" i="2" s="1"/>
  <c r="L384" i="2"/>
  <c r="Q384" i="2" s="1"/>
  <c r="L385" i="2"/>
  <c r="Q385" i="2" s="1"/>
  <c r="L386" i="2"/>
  <c r="Q386" i="2" s="1"/>
  <c r="L387" i="2"/>
  <c r="Q387" i="2" s="1"/>
  <c r="L388" i="2"/>
  <c r="Q388" i="2" s="1"/>
  <c r="L389" i="2"/>
  <c r="Q389" i="2" s="1"/>
  <c r="L390" i="2"/>
  <c r="Q390" i="2" s="1"/>
  <c r="L391" i="2"/>
  <c r="Q391" i="2" s="1"/>
  <c r="L392" i="2"/>
  <c r="Q392" i="2" s="1"/>
  <c r="L393" i="2"/>
  <c r="Q393" i="2" s="1"/>
  <c r="L394" i="2"/>
  <c r="L395" i="2"/>
  <c r="Q395" i="2" s="1"/>
  <c r="L396" i="2"/>
  <c r="Q396" i="2" s="1"/>
  <c r="L397" i="2"/>
  <c r="Q397" i="2" s="1"/>
  <c r="L398" i="2"/>
  <c r="Q398" i="2" s="1"/>
  <c r="L399" i="2"/>
  <c r="Q399" i="2" s="1"/>
  <c r="L400" i="2"/>
  <c r="Q400" i="2" s="1"/>
  <c r="L401" i="2"/>
  <c r="Q401" i="2" s="1"/>
  <c r="L402" i="2"/>
  <c r="Q402" i="2" s="1"/>
  <c r="L403" i="2"/>
  <c r="Q403" i="2" s="1"/>
  <c r="L404" i="2"/>
  <c r="Q404" i="2" s="1"/>
  <c r="L405" i="2"/>
  <c r="Q405" i="2" s="1"/>
  <c r="L406" i="2"/>
  <c r="Q406" i="2" s="1"/>
  <c r="L407" i="2"/>
  <c r="Q407" i="2" s="1"/>
  <c r="L408" i="2"/>
  <c r="Q408" i="2" s="1"/>
  <c r="L409" i="2"/>
  <c r="Q409" i="2" s="1"/>
  <c r="L410" i="2"/>
  <c r="Q410" i="2" s="1"/>
  <c r="L411" i="2"/>
  <c r="Q411" i="2" s="1"/>
  <c r="L412" i="2"/>
  <c r="Q412" i="2" s="1"/>
  <c r="L413" i="2"/>
  <c r="L414" i="2"/>
  <c r="Q414" i="2" s="1"/>
  <c r="L415" i="2"/>
  <c r="Q415" i="2" s="1"/>
  <c r="L416" i="2"/>
  <c r="Q416" i="2" s="1"/>
  <c r="L417" i="2"/>
  <c r="Q417" i="2" s="1"/>
  <c r="L418" i="2"/>
  <c r="Q418" i="2" s="1"/>
  <c r="L419" i="2"/>
  <c r="Q419" i="2" s="1"/>
  <c r="L420" i="2"/>
  <c r="Q420" i="2" s="1"/>
  <c r="L421" i="2"/>
  <c r="Q421" i="2" s="1"/>
  <c r="L422" i="2"/>
  <c r="Q422" i="2" s="1"/>
  <c r="L423" i="2"/>
  <c r="Q423" i="2" s="1"/>
  <c r="L424" i="2"/>
  <c r="Q424" i="2" s="1"/>
  <c r="L425" i="2"/>
  <c r="Q425" i="2" s="1"/>
  <c r="L426" i="2"/>
  <c r="Q426" i="2" s="1"/>
  <c r="L427" i="2"/>
  <c r="Q427" i="2" s="1"/>
  <c r="L428" i="2"/>
  <c r="Q428" i="2" s="1"/>
  <c r="L429" i="2"/>
  <c r="Q429" i="2" s="1"/>
  <c r="L430" i="2"/>
  <c r="Q430" i="2" s="1"/>
  <c r="L431" i="2"/>
  <c r="Q431" i="2" s="1"/>
  <c r="L432" i="2"/>
  <c r="Q432" i="2" s="1"/>
  <c r="L433" i="2"/>
  <c r="Q433" i="2" s="1"/>
  <c r="L434" i="2"/>
  <c r="Q434" i="2" s="1"/>
  <c r="L435" i="2"/>
  <c r="Q435" i="2" s="1"/>
  <c r="L436" i="2"/>
  <c r="Q436" i="2" s="1"/>
  <c r="L437" i="2"/>
  <c r="Q437" i="2" s="1"/>
  <c r="L438" i="2"/>
  <c r="Q438" i="2" s="1"/>
  <c r="L439" i="2"/>
  <c r="Q439" i="2" s="1"/>
  <c r="L440" i="2"/>
  <c r="Q440" i="2" s="1"/>
  <c r="L441" i="2"/>
  <c r="Q441" i="2" s="1"/>
  <c r="L442" i="2"/>
  <c r="Q442" i="2" s="1"/>
  <c r="L443" i="2"/>
  <c r="Q443" i="2" s="1"/>
  <c r="L444" i="2"/>
  <c r="L445" i="2"/>
  <c r="Q445" i="2" s="1"/>
  <c r="L446" i="2"/>
  <c r="Q446" i="2" s="1"/>
  <c r="L447" i="2"/>
  <c r="Q447" i="2" s="1"/>
  <c r="L448" i="2"/>
  <c r="Q448" i="2" s="1"/>
  <c r="L449" i="2"/>
  <c r="Q449" i="2" s="1"/>
  <c r="L450" i="2"/>
  <c r="Q450" i="2" s="1"/>
  <c r="L451" i="2"/>
  <c r="Q451" i="2" s="1"/>
  <c r="L452" i="2"/>
  <c r="Q452" i="2" s="1"/>
  <c r="L453" i="2"/>
  <c r="Q453" i="2" s="1"/>
  <c r="L454" i="2"/>
  <c r="Q454" i="2" s="1"/>
  <c r="L455" i="2"/>
  <c r="Q455" i="2" s="1"/>
  <c r="L456" i="2"/>
  <c r="Q456" i="2" s="1"/>
  <c r="L457" i="2"/>
  <c r="Q457" i="2" s="1"/>
  <c r="L458" i="2"/>
  <c r="Q458" i="2" s="1"/>
  <c r="L459" i="2"/>
  <c r="Q459" i="2" s="1"/>
  <c r="L460" i="2"/>
  <c r="Q460" i="2" s="1"/>
  <c r="L461" i="2"/>
  <c r="Q461" i="2" s="1"/>
  <c r="L462" i="2"/>
  <c r="Q462" i="2" s="1"/>
  <c r="L463" i="2"/>
  <c r="L464" i="2"/>
  <c r="Q464" i="2" s="1"/>
  <c r="L465" i="2"/>
  <c r="Q465" i="2" s="1"/>
  <c r="L466" i="2"/>
  <c r="Q466" i="2" s="1"/>
  <c r="L467" i="2"/>
  <c r="Q467" i="2" s="1"/>
  <c r="L468" i="2"/>
  <c r="Q468" i="2" s="1"/>
  <c r="L469" i="2"/>
  <c r="Q469" i="2" s="1"/>
  <c r="L470" i="2"/>
  <c r="Q470" i="2" s="1"/>
  <c r="L471" i="2"/>
  <c r="Q471" i="2" s="1"/>
  <c r="L472" i="2"/>
  <c r="Q472" i="2" s="1"/>
  <c r="L473" i="2"/>
  <c r="Q473" i="2" s="1"/>
  <c r="L474" i="2"/>
  <c r="L475" i="2"/>
  <c r="Q475" i="2" s="1"/>
  <c r="L476" i="2"/>
  <c r="Q476" i="2" s="1"/>
  <c r="L477" i="2"/>
  <c r="Q477" i="2" s="1"/>
  <c r="L478" i="2"/>
  <c r="Q478" i="2" s="1"/>
  <c r="L479" i="2"/>
  <c r="Q479" i="2" s="1"/>
  <c r="L480" i="2"/>
  <c r="Q480" i="2" s="1"/>
  <c r="L481" i="2"/>
  <c r="Q481" i="2" s="1"/>
  <c r="L482" i="2"/>
  <c r="Q482" i="2" s="1"/>
  <c r="L483" i="2"/>
  <c r="Q483" i="2" s="1"/>
  <c r="L484" i="2"/>
  <c r="Q484" i="2" s="1"/>
  <c r="L485" i="2"/>
  <c r="Q485" i="2" s="1"/>
  <c r="L486" i="2"/>
  <c r="Q486" i="2" s="1"/>
  <c r="L487" i="2"/>
  <c r="Q487" i="2" s="1"/>
  <c r="L488" i="2"/>
  <c r="Q488" i="2" s="1"/>
  <c r="L489" i="2"/>
  <c r="Q489" i="2" s="1"/>
  <c r="L490" i="2"/>
  <c r="Q490" i="2" s="1"/>
  <c r="L491" i="2"/>
  <c r="Q491" i="2" s="1"/>
  <c r="L492" i="2"/>
  <c r="Q492" i="2" s="1"/>
  <c r="L493" i="2"/>
  <c r="Q493" i="2" s="1"/>
  <c r="L494" i="2"/>
  <c r="Q494" i="2" s="1"/>
  <c r="L495" i="2"/>
  <c r="Q495" i="2" s="1"/>
  <c r="L496" i="2"/>
  <c r="Q496" i="2" s="1"/>
  <c r="L497" i="2"/>
  <c r="Q497" i="2" s="1"/>
  <c r="L498" i="2"/>
  <c r="Q498" i="2" s="1"/>
  <c r="L499" i="2"/>
  <c r="Q499" i="2" s="1"/>
  <c r="L500" i="2"/>
  <c r="Q500" i="2" s="1"/>
  <c r="L501" i="2"/>
  <c r="Q501" i="2" s="1"/>
  <c r="L502" i="2"/>
  <c r="Q502" i="2" s="1"/>
  <c r="L503" i="2"/>
  <c r="Q503" i="2" s="1"/>
  <c r="L504" i="2"/>
  <c r="Q504" i="2" s="1"/>
  <c r="L505" i="2"/>
  <c r="Q505" i="2" s="1"/>
  <c r="L506" i="2"/>
  <c r="Q506" i="2" s="1"/>
  <c r="L507" i="2"/>
  <c r="Q507" i="2" s="1"/>
  <c r="L508" i="2"/>
  <c r="Q508" i="2" s="1"/>
  <c r="L509" i="2"/>
  <c r="Q509" i="2" s="1"/>
  <c r="L510" i="2"/>
  <c r="Q510" i="2" s="1"/>
  <c r="L511" i="2"/>
  <c r="Q511" i="2" s="1"/>
  <c r="L512" i="2"/>
  <c r="Q512" i="2" s="1"/>
  <c r="L513" i="2"/>
  <c r="L514" i="2"/>
  <c r="Q514" i="2" s="1"/>
  <c r="L515" i="2"/>
  <c r="Q515" i="2" s="1"/>
  <c r="L516" i="2"/>
  <c r="Q516" i="2" s="1"/>
  <c r="L517" i="2"/>
  <c r="Q517" i="2" s="1"/>
  <c r="L518" i="2"/>
  <c r="Q518" i="2" s="1"/>
  <c r="L519" i="2"/>
  <c r="Q519" i="2" s="1"/>
  <c r="L520" i="2"/>
  <c r="Q520" i="2" s="1"/>
  <c r="L521" i="2"/>
  <c r="Q521" i="2" s="1"/>
  <c r="L522" i="2"/>
  <c r="Q522" i="2" s="1"/>
  <c r="L523" i="2"/>
  <c r="Q523" i="2" s="1"/>
  <c r="L524" i="2"/>
  <c r="L525" i="2"/>
  <c r="Q525" i="2" s="1"/>
  <c r="L526" i="2"/>
  <c r="Q526" i="2" s="1"/>
  <c r="L527" i="2"/>
  <c r="Q527" i="2" s="1"/>
  <c r="L528" i="2"/>
  <c r="Q528" i="2" s="1"/>
  <c r="L529" i="2"/>
  <c r="Q529" i="2" s="1"/>
  <c r="L530" i="2"/>
  <c r="Q530" i="2" s="1"/>
  <c r="L531" i="2"/>
  <c r="Q531" i="2" s="1"/>
  <c r="L532" i="2"/>
  <c r="Q532" i="2" s="1"/>
  <c r="L533" i="2"/>
  <c r="Q533" i="2" s="1"/>
  <c r="L534" i="2"/>
  <c r="Q534" i="2" s="1"/>
  <c r="L535" i="2"/>
  <c r="Q535" i="2" s="1"/>
  <c r="L536" i="2"/>
  <c r="Q536" i="2" s="1"/>
  <c r="L537" i="2"/>
  <c r="Q537" i="2" s="1"/>
  <c r="L538" i="2"/>
  <c r="Q538" i="2" s="1"/>
  <c r="L539" i="2"/>
  <c r="Q539" i="2" s="1"/>
  <c r="L540" i="2"/>
  <c r="Q540" i="2" s="1"/>
  <c r="L541" i="2"/>
  <c r="Q541" i="2" s="1"/>
  <c r="L542" i="2"/>
  <c r="Q542" i="2" s="1"/>
  <c r="L543" i="2"/>
  <c r="Q543" i="2" s="1"/>
  <c r="L544" i="2"/>
  <c r="Q544" i="2" s="1"/>
  <c r="L545" i="2"/>
  <c r="Q545" i="2" s="1"/>
  <c r="L546" i="2"/>
  <c r="Q546" i="2" s="1"/>
  <c r="L547" i="2"/>
  <c r="Q547" i="2" s="1"/>
  <c r="L548" i="2"/>
  <c r="Q548" i="2" s="1"/>
  <c r="L549" i="2"/>
  <c r="Q549" i="2" s="1"/>
  <c r="L550" i="2"/>
  <c r="Q550" i="2" s="1"/>
  <c r="L551" i="2"/>
  <c r="Q551" i="2" s="1"/>
  <c r="L552" i="2"/>
  <c r="Q552" i="2" s="1"/>
  <c r="L553" i="2"/>
  <c r="Q553" i="2" s="1"/>
  <c r="L554" i="2"/>
  <c r="Q554" i="2" s="1"/>
  <c r="L555" i="2"/>
  <c r="Q555" i="2" s="1"/>
  <c r="L556" i="2"/>
  <c r="Q556" i="2" s="1"/>
  <c r="L557" i="2"/>
  <c r="Q557" i="2" s="1"/>
  <c r="L558" i="2"/>
  <c r="Q558" i="2" s="1"/>
  <c r="L559" i="2"/>
  <c r="Q559" i="2" s="1"/>
  <c r="L560" i="2"/>
  <c r="Q560" i="2" s="1"/>
  <c r="L561" i="2"/>
  <c r="Q561" i="2" s="1"/>
  <c r="L562" i="2"/>
  <c r="Q562" i="2" s="1"/>
  <c r="L563" i="2"/>
  <c r="L564" i="2"/>
  <c r="Q564" i="2" s="1"/>
  <c r="L565" i="2"/>
  <c r="Q565" i="2" s="1"/>
  <c r="L566" i="2"/>
  <c r="Q566" i="2" s="1"/>
  <c r="L567" i="2"/>
  <c r="Q567" i="2" s="1"/>
  <c r="L568" i="2"/>
  <c r="Q568" i="2" s="1"/>
  <c r="L569" i="2"/>
  <c r="Q569" i="2" s="1"/>
  <c r="L570" i="2"/>
  <c r="Q570" i="2" s="1"/>
  <c r="L571" i="2"/>
  <c r="Q571" i="2" s="1"/>
  <c r="L572" i="2"/>
  <c r="Q572" i="2" s="1"/>
  <c r="L573" i="2"/>
  <c r="Q573" i="2" s="1"/>
  <c r="L574" i="2"/>
  <c r="L575" i="2"/>
  <c r="Q575" i="2" s="1"/>
  <c r="L576" i="2"/>
  <c r="Q576" i="2" s="1"/>
  <c r="L577" i="2"/>
  <c r="Q577" i="2" s="1"/>
  <c r="L578" i="2"/>
  <c r="Q578" i="2" s="1"/>
  <c r="L579" i="2"/>
  <c r="Q579" i="2" s="1"/>
  <c r="L580" i="2"/>
  <c r="Q580" i="2" s="1"/>
  <c r="L581" i="2"/>
  <c r="Q581" i="2" s="1"/>
  <c r="L582" i="2"/>
  <c r="Q582" i="2" s="1"/>
  <c r="L583" i="2"/>
  <c r="Q583" i="2" s="1"/>
  <c r="L584" i="2"/>
  <c r="Q584" i="2" s="1"/>
  <c r="L585" i="2"/>
  <c r="Q585" i="2" s="1"/>
  <c r="L586" i="2"/>
  <c r="Q586" i="2" s="1"/>
  <c r="L587" i="2"/>
  <c r="Q587" i="2" s="1"/>
  <c r="L588" i="2"/>
  <c r="Q588" i="2" s="1"/>
  <c r="L589" i="2"/>
  <c r="Q589" i="2" s="1"/>
  <c r="L590" i="2"/>
  <c r="Q590" i="2" s="1"/>
  <c r="L591" i="2"/>
  <c r="Q591" i="2" s="1"/>
  <c r="L592" i="2"/>
  <c r="Q592" i="2" s="1"/>
  <c r="L593" i="2"/>
  <c r="Q593" i="2" s="1"/>
  <c r="L594" i="2"/>
  <c r="Q594" i="2" s="1"/>
  <c r="L595" i="2"/>
  <c r="Q595" i="2" s="1"/>
  <c r="L596" i="2"/>
  <c r="Q596" i="2" s="1"/>
  <c r="L597" i="2"/>
  <c r="Q597" i="2" s="1"/>
  <c r="L598" i="2"/>
  <c r="Q598" i="2" s="1"/>
  <c r="L599" i="2"/>
  <c r="Q599" i="2" s="1"/>
  <c r="L600" i="2"/>
  <c r="Q600" i="2" s="1"/>
  <c r="L601" i="2"/>
  <c r="Q601" i="2" s="1"/>
  <c r="L602" i="2"/>
  <c r="Q602" i="2" s="1"/>
  <c r="L603" i="2"/>
  <c r="Q603" i="2" s="1"/>
  <c r="L604" i="2"/>
  <c r="Q604" i="2" s="1"/>
  <c r="L605" i="2"/>
  <c r="Q605" i="2" s="1"/>
  <c r="L606" i="2"/>
  <c r="Q606" i="2" s="1"/>
  <c r="L607" i="2"/>
  <c r="Q607" i="2" s="1"/>
  <c r="L608" i="2"/>
  <c r="Q608" i="2" s="1"/>
  <c r="L609" i="2"/>
  <c r="Q609" i="2" s="1"/>
  <c r="L610" i="2"/>
  <c r="Q610" i="2" s="1"/>
  <c r="L611" i="2"/>
  <c r="Q611" i="2" s="1"/>
  <c r="L612" i="2"/>
  <c r="Q612" i="2" s="1"/>
  <c r="L613" i="2"/>
  <c r="L614" i="2"/>
  <c r="Q614" i="2" s="1"/>
  <c r="L615" i="2"/>
  <c r="Q615" i="2" s="1"/>
  <c r="L616" i="2"/>
  <c r="Q616" i="2" s="1"/>
  <c r="L617" i="2"/>
  <c r="Q617" i="2" s="1"/>
  <c r="L618" i="2"/>
  <c r="Q618" i="2" s="1"/>
  <c r="L619" i="2"/>
  <c r="Q619" i="2" s="1"/>
  <c r="L620" i="2"/>
  <c r="Q620" i="2" s="1"/>
  <c r="L621" i="2"/>
  <c r="Q621" i="2" s="1"/>
  <c r="L622" i="2"/>
  <c r="Q622" i="2" s="1"/>
  <c r="L623" i="2"/>
  <c r="Q623" i="2" s="1"/>
  <c r="L624" i="2"/>
  <c r="L625" i="2"/>
  <c r="Q625" i="2" s="1"/>
  <c r="L626" i="2"/>
  <c r="Q626" i="2" s="1"/>
  <c r="L627" i="2"/>
  <c r="Q627" i="2" s="1"/>
  <c r="L628" i="2"/>
  <c r="Q628" i="2" s="1"/>
  <c r="L629" i="2"/>
  <c r="Q629" i="2" s="1"/>
  <c r="L630" i="2"/>
  <c r="Q630" i="2" s="1"/>
  <c r="L631" i="2"/>
  <c r="Q631" i="2" s="1"/>
  <c r="L632" i="2"/>
  <c r="Q632" i="2" s="1"/>
  <c r="L633" i="2"/>
  <c r="Q633" i="2" s="1"/>
  <c r="L634" i="2"/>
  <c r="Q634" i="2" s="1"/>
  <c r="L635" i="2"/>
  <c r="Q635" i="2" s="1"/>
  <c r="L636" i="2"/>
  <c r="Q636" i="2" s="1"/>
  <c r="L637" i="2"/>
  <c r="Q637" i="2" s="1"/>
  <c r="L638" i="2"/>
  <c r="Q638" i="2" s="1"/>
  <c r="L639" i="2"/>
  <c r="Q639" i="2" s="1"/>
  <c r="L640" i="2"/>
  <c r="Q640" i="2" s="1"/>
  <c r="L641" i="2"/>
  <c r="Q641" i="2" s="1"/>
  <c r="L642" i="2"/>
  <c r="Q642" i="2" s="1"/>
  <c r="L643" i="2"/>
  <c r="Q643" i="2" s="1"/>
  <c r="L644" i="2"/>
  <c r="Q644" i="2" s="1"/>
  <c r="L645" i="2"/>
  <c r="Q645" i="2" s="1"/>
  <c r="L646" i="2"/>
  <c r="Q646" i="2" s="1"/>
  <c r="L647" i="2"/>
  <c r="Q647" i="2" s="1"/>
  <c r="L648" i="2"/>
  <c r="Q648" i="2" s="1"/>
  <c r="L649" i="2"/>
  <c r="Q649" i="2" s="1"/>
  <c r="L650" i="2"/>
  <c r="Q650" i="2" s="1"/>
  <c r="L651" i="2"/>
  <c r="Q651" i="2" s="1"/>
  <c r="L652" i="2"/>
  <c r="Q652" i="2" s="1"/>
  <c r="L653" i="2"/>
  <c r="Q653" i="2" s="1"/>
  <c r="L654" i="2"/>
  <c r="Q654" i="2" s="1"/>
  <c r="L655" i="2"/>
  <c r="Q655" i="2" s="1"/>
  <c r="L656" i="2"/>
  <c r="Q656" i="2" s="1"/>
  <c r="L657" i="2"/>
  <c r="Q657" i="2" s="1"/>
  <c r="L658" i="2"/>
  <c r="Q658" i="2" s="1"/>
  <c r="L659" i="2"/>
  <c r="Q659" i="2" s="1"/>
  <c r="L660" i="2"/>
  <c r="Q660" i="2" s="1"/>
  <c r="L661" i="2"/>
  <c r="Q661" i="2" s="1"/>
  <c r="L662" i="2"/>
  <c r="Q662" i="2" s="1"/>
  <c r="L663" i="2"/>
  <c r="L664" i="2"/>
  <c r="Q664" i="2" s="1"/>
  <c r="L665" i="2"/>
  <c r="Q665" i="2" s="1"/>
  <c r="L666" i="2"/>
  <c r="Q666" i="2" s="1"/>
  <c r="L667" i="2"/>
  <c r="Q667" i="2" s="1"/>
  <c r="L668" i="2"/>
  <c r="Q668" i="2" s="1"/>
  <c r="L669" i="2"/>
  <c r="Q669" i="2" s="1"/>
  <c r="L670" i="2"/>
  <c r="Q670" i="2" s="1"/>
  <c r="L671" i="2"/>
  <c r="Q671" i="2" s="1"/>
  <c r="L672" i="2"/>
  <c r="Q672" i="2" s="1"/>
  <c r="L673" i="2"/>
  <c r="Q673" i="2" s="1"/>
  <c r="L674" i="2"/>
  <c r="L675" i="2"/>
  <c r="Q675" i="2" s="1"/>
  <c r="L676" i="2"/>
  <c r="Q676" i="2" s="1"/>
  <c r="L677" i="2"/>
  <c r="Q677" i="2" s="1"/>
  <c r="L678" i="2"/>
  <c r="Q678" i="2" s="1"/>
  <c r="L679" i="2"/>
  <c r="Q679" i="2" s="1"/>
  <c r="L680" i="2"/>
  <c r="Q680" i="2" s="1"/>
  <c r="L681" i="2"/>
  <c r="Q681" i="2" s="1"/>
  <c r="L682" i="2"/>
  <c r="Q682" i="2" s="1"/>
  <c r="L683" i="2"/>
  <c r="Q683" i="2" s="1"/>
  <c r="L684" i="2"/>
  <c r="Q684" i="2" s="1"/>
  <c r="L685" i="2"/>
  <c r="Q685" i="2" s="1"/>
  <c r="L686" i="2"/>
  <c r="Q686" i="2" s="1"/>
  <c r="L687" i="2"/>
  <c r="Q687" i="2" s="1"/>
  <c r="L688" i="2"/>
  <c r="Q688" i="2" s="1"/>
  <c r="L689" i="2"/>
  <c r="Q689" i="2" s="1"/>
  <c r="L690" i="2"/>
  <c r="Q690" i="2" s="1"/>
  <c r="L691" i="2"/>
  <c r="Q691" i="2" s="1"/>
  <c r="L692" i="2"/>
  <c r="Q692" i="2" s="1"/>
  <c r="L693" i="2"/>
  <c r="Q693" i="2" s="1"/>
  <c r="L694" i="2"/>
  <c r="Q694" i="2" s="1"/>
  <c r="L695" i="2"/>
  <c r="Q695" i="2" s="1"/>
  <c r="L696" i="2"/>
  <c r="Q696" i="2" s="1"/>
  <c r="L697" i="2"/>
  <c r="Q697" i="2" s="1"/>
  <c r="L698" i="2"/>
  <c r="Q698" i="2" s="1"/>
  <c r="L699" i="2"/>
  <c r="Q699" i="2" s="1"/>
  <c r="L700" i="2"/>
  <c r="Q700" i="2" s="1"/>
  <c r="L701" i="2"/>
  <c r="Q701" i="2" s="1"/>
  <c r="L702" i="2"/>
  <c r="Q702" i="2" s="1"/>
  <c r="L703" i="2"/>
  <c r="Q703" i="2" s="1"/>
  <c r="L704" i="2"/>
  <c r="Q704" i="2" s="1"/>
  <c r="L705" i="2"/>
  <c r="Q705" i="2" s="1"/>
  <c r="L706" i="2"/>
  <c r="Q706" i="2" s="1"/>
  <c r="L707" i="2"/>
  <c r="Q707" i="2" s="1"/>
  <c r="L708" i="2"/>
  <c r="Q708" i="2" s="1"/>
  <c r="L709" i="2"/>
  <c r="Q709" i="2" s="1"/>
  <c r="L710" i="2"/>
  <c r="Q710" i="2" s="1"/>
  <c r="L711" i="2"/>
  <c r="Q711" i="2" s="1"/>
  <c r="L712" i="2"/>
  <c r="Q712" i="2" s="1"/>
  <c r="L713" i="2"/>
  <c r="L714" i="2"/>
  <c r="Q714" i="2" s="1"/>
  <c r="L715" i="2"/>
  <c r="Q715" i="2" s="1"/>
  <c r="L716" i="2"/>
  <c r="Q716" i="2" s="1"/>
  <c r="L717" i="2"/>
  <c r="Q717" i="2" s="1"/>
  <c r="L718" i="2"/>
  <c r="Q718" i="2" s="1"/>
  <c r="L719" i="2"/>
  <c r="Q719" i="2" s="1"/>
  <c r="L720" i="2"/>
  <c r="Q720" i="2" s="1"/>
  <c r="L721" i="2"/>
  <c r="Q721" i="2" s="1"/>
  <c r="L722" i="2"/>
  <c r="Q722" i="2" s="1"/>
  <c r="L723" i="2"/>
  <c r="Q723" i="2" s="1"/>
  <c r="L724" i="2"/>
  <c r="L725" i="2"/>
  <c r="Q725" i="2" s="1"/>
  <c r="L726" i="2"/>
  <c r="Q726" i="2" s="1"/>
  <c r="L727" i="2"/>
  <c r="Q727" i="2" s="1"/>
  <c r="L728" i="2"/>
  <c r="Q728" i="2" s="1"/>
  <c r="L729" i="2"/>
  <c r="Q729" i="2" s="1"/>
  <c r="L730" i="2"/>
  <c r="Q730" i="2" s="1"/>
  <c r="L731" i="2"/>
  <c r="Q731" i="2" s="1"/>
  <c r="L732" i="2"/>
  <c r="Q732" i="2" s="1"/>
  <c r="L733" i="2"/>
  <c r="Q733" i="2" s="1"/>
  <c r="L734" i="2"/>
  <c r="Q734" i="2" s="1"/>
  <c r="L735" i="2"/>
  <c r="Q735" i="2" s="1"/>
  <c r="L736" i="2"/>
  <c r="Q736" i="2" s="1"/>
  <c r="L737" i="2"/>
  <c r="Q737" i="2" s="1"/>
  <c r="L738" i="2"/>
  <c r="Q738" i="2" s="1"/>
  <c r="L739" i="2"/>
  <c r="Q739" i="2" s="1"/>
  <c r="L740" i="2"/>
  <c r="Q740" i="2" s="1"/>
  <c r="L741" i="2"/>
  <c r="Q741" i="2" s="1"/>
  <c r="L742" i="2"/>
  <c r="Q742" i="2" s="1"/>
  <c r="L743" i="2"/>
  <c r="Q743" i="2" s="1"/>
  <c r="L744" i="2"/>
  <c r="Q744" i="2" s="1"/>
  <c r="L745" i="2"/>
  <c r="Q745" i="2" s="1"/>
  <c r="L746" i="2"/>
  <c r="Q746" i="2" s="1"/>
  <c r="L747" i="2"/>
  <c r="Q747" i="2" s="1"/>
  <c r="L748" i="2"/>
  <c r="Q748" i="2" s="1"/>
  <c r="L749" i="2"/>
  <c r="Q749" i="2" s="1"/>
  <c r="L750" i="2"/>
  <c r="Q750" i="2" s="1"/>
  <c r="L751" i="2"/>
  <c r="Q751" i="2" s="1"/>
  <c r="L752" i="2"/>
  <c r="Q752" i="2" s="1"/>
  <c r="L753" i="2"/>
  <c r="Q753" i="2" s="1"/>
  <c r="L754" i="2"/>
  <c r="Q754" i="2" s="1"/>
  <c r="L755" i="2"/>
  <c r="Q755" i="2" s="1"/>
  <c r="L756" i="2"/>
  <c r="Q756" i="2" s="1"/>
  <c r="L757" i="2"/>
  <c r="Q757" i="2" s="1"/>
  <c r="L758" i="2"/>
  <c r="Q758" i="2" s="1"/>
  <c r="L759" i="2"/>
  <c r="Q759" i="2" s="1"/>
  <c r="L760" i="2"/>
  <c r="Q760" i="2" s="1"/>
  <c r="L761" i="2"/>
  <c r="Q761" i="2" s="1"/>
  <c r="L762" i="2"/>
  <c r="Q762" i="2" s="1"/>
  <c r="L763" i="2"/>
  <c r="L764" i="2"/>
  <c r="Q764" i="2" s="1"/>
  <c r="L765" i="2"/>
  <c r="Q765" i="2" s="1"/>
  <c r="L766" i="2"/>
  <c r="Q766" i="2" s="1"/>
  <c r="L767" i="2"/>
  <c r="Q767" i="2" s="1"/>
  <c r="L768" i="2"/>
  <c r="Q768" i="2" s="1"/>
  <c r="L769" i="2"/>
  <c r="Q769" i="2" s="1"/>
  <c r="L770" i="2"/>
  <c r="Q770" i="2" s="1"/>
  <c r="L771" i="2"/>
  <c r="Q771" i="2" s="1"/>
  <c r="L772" i="2"/>
  <c r="Q772" i="2" s="1"/>
  <c r="L773" i="2"/>
  <c r="Q773" i="2" s="1"/>
  <c r="L774" i="2"/>
  <c r="L775" i="2"/>
  <c r="Q775" i="2" s="1"/>
  <c r="L776" i="2"/>
  <c r="Q776" i="2" s="1"/>
  <c r="L777" i="2"/>
  <c r="Q777" i="2" s="1"/>
  <c r="L778" i="2"/>
  <c r="Q778" i="2" s="1"/>
  <c r="L779" i="2"/>
  <c r="Q779" i="2" s="1"/>
  <c r="L780" i="2"/>
  <c r="Q780" i="2" s="1"/>
  <c r="L781" i="2"/>
  <c r="Q781" i="2" s="1"/>
  <c r="L782" i="2"/>
  <c r="Q782" i="2" s="1"/>
  <c r="L783" i="2"/>
  <c r="Q783" i="2" s="1"/>
  <c r="L784" i="2"/>
  <c r="Q784" i="2" s="1"/>
  <c r="L785" i="2"/>
  <c r="Q785" i="2" s="1"/>
  <c r="L786" i="2"/>
  <c r="Q786" i="2" s="1"/>
  <c r="L787" i="2"/>
  <c r="Q787" i="2" s="1"/>
  <c r="L788" i="2"/>
  <c r="Q788" i="2" s="1"/>
  <c r="L789" i="2"/>
  <c r="Q789" i="2" s="1"/>
  <c r="L790" i="2"/>
  <c r="Q790" i="2" s="1"/>
  <c r="L791" i="2"/>
  <c r="Q791" i="2" s="1"/>
  <c r="L792" i="2"/>
  <c r="Q792" i="2" s="1"/>
  <c r="L793" i="2"/>
  <c r="Q793" i="2" s="1"/>
  <c r="L794" i="2"/>
  <c r="Q794" i="2" s="1"/>
  <c r="L795" i="2"/>
  <c r="Q795" i="2" s="1"/>
  <c r="L796" i="2"/>
  <c r="Q796" i="2" s="1"/>
  <c r="L797" i="2"/>
  <c r="Q797" i="2" s="1"/>
  <c r="L798" i="2"/>
  <c r="Q798" i="2" s="1"/>
  <c r="L799" i="2"/>
  <c r="Q799" i="2" s="1"/>
  <c r="L800" i="2"/>
  <c r="Q800" i="2" s="1"/>
  <c r="L801" i="2"/>
  <c r="Q801" i="2" s="1"/>
  <c r="L802" i="2"/>
  <c r="Q802" i="2" s="1"/>
  <c r="L803" i="2"/>
  <c r="Q803" i="2" s="1"/>
  <c r="L804" i="2"/>
  <c r="Q804" i="2" s="1"/>
  <c r="L805" i="2"/>
  <c r="Q805" i="2" s="1"/>
  <c r="L806" i="2"/>
  <c r="Q806" i="2" s="1"/>
  <c r="L807" i="2"/>
  <c r="Q807" i="2" s="1"/>
  <c r="L808" i="2"/>
  <c r="Q808" i="2" s="1"/>
  <c r="L809" i="2"/>
  <c r="Q809" i="2" s="1"/>
  <c r="L810" i="2"/>
  <c r="Q810" i="2" s="1"/>
  <c r="L811" i="2"/>
  <c r="Q811" i="2" s="1"/>
  <c r="L812" i="2"/>
  <c r="Q812" i="2" s="1"/>
  <c r="L813" i="2"/>
  <c r="L814" i="2"/>
  <c r="Q814" i="2" s="1"/>
  <c r="L815" i="2"/>
  <c r="Q815" i="2" s="1"/>
  <c r="L816" i="2"/>
  <c r="Q816" i="2" s="1"/>
  <c r="L817" i="2"/>
  <c r="Q817" i="2" s="1"/>
  <c r="L818" i="2"/>
  <c r="Q818" i="2" s="1"/>
  <c r="L819" i="2"/>
  <c r="Q819" i="2" s="1"/>
  <c r="L820" i="2"/>
  <c r="Q820" i="2" s="1"/>
  <c r="L821" i="2"/>
  <c r="Q821" i="2" s="1"/>
  <c r="L822" i="2"/>
  <c r="Q822" i="2" s="1"/>
  <c r="L823" i="2"/>
  <c r="Q823" i="2" s="1"/>
  <c r="L824" i="2"/>
  <c r="L825" i="2"/>
  <c r="Q825" i="2" s="1"/>
  <c r="L826" i="2"/>
  <c r="Q826" i="2" s="1"/>
  <c r="L827" i="2"/>
  <c r="Q827" i="2" s="1"/>
  <c r="L828" i="2"/>
  <c r="Q828" i="2" s="1"/>
  <c r="L829" i="2"/>
  <c r="Q829" i="2" s="1"/>
  <c r="L830" i="2"/>
  <c r="Q830" i="2" s="1"/>
  <c r="L831" i="2"/>
  <c r="Q831" i="2" s="1"/>
  <c r="L832" i="2"/>
  <c r="Q832" i="2" s="1"/>
  <c r="L833" i="2"/>
  <c r="Q833" i="2" s="1"/>
  <c r="L834" i="2"/>
  <c r="Q834" i="2" s="1"/>
  <c r="L835" i="2"/>
  <c r="Q835" i="2" s="1"/>
  <c r="L836" i="2"/>
  <c r="Q836" i="2" s="1"/>
  <c r="L837" i="2"/>
  <c r="Q837" i="2" s="1"/>
  <c r="L838" i="2"/>
  <c r="Q838" i="2" s="1"/>
  <c r="L839" i="2"/>
  <c r="Q839" i="2" s="1"/>
  <c r="L840" i="2"/>
  <c r="Q840" i="2" s="1"/>
  <c r="L841" i="2"/>
  <c r="Q841" i="2" s="1"/>
  <c r="L842" i="2"/>
  <c r="Q842" i="2" s="1"/>
  <c r="L843" i="2"/>
  <c r="Q843" i="2" s="1"/>
  <c r="L844" i="2"/>
  <c r="Q844" i="2" s="1"/>
  <c r="L845" i="2"/>
  <c r="Q845" i="2" s="1"/>
  <c r="L846" i="2"/>
  <c r="Q846" i="2" s="1"/>
  <c r="L847" i="2"/>
  <c r="Q847" i="2" s="1"/>
  <c r="L848" i="2"/>
  <c r="Q848" i="2" s="1"/>
  <c r="L849" i="2"/>
  <c r="Q849" i="2" s="1"/>
  <c r="L850" i="2"/>
  <c r="Q850" i="2" s="1"/>
  <c r="L851" i="2"/>
  <c r="Q851" i="2" s="1"/>
  <c r="L852" i="2"/>
  <c r="Q852" i="2" s="1"/>
  <c r="L853" i="2"/>
  <c r="Q853" i="2" s="1"/>
  <c r="L854" i="2"/>
  <c r="Q854" i="2" s="1"/>
  <c r="L855" i="2"/>
  <c r="Q855" i="2" s="1"/>
  <c r="L856" i="2"/>
  <c r="Q856" i="2" s="1"/>
  <c r="L857" i="2"/>
  <c r="Q857" i="2" s="1"/>
  <c r="L858" i="2"/>
  <c r="Q858" i="2" s="1"/>
  <c r="L859" i="2"/>
  <c r="Q859" i="2" s="1"/>
  <c r="L860" i="2"/>
  <c r="Q860" i="2" s="1"/>
  <c r="L861" i="2"/>
  <c r="Q861" i="2" s="1"/>
  <c r="L862" i="2"/>
  <c r="Q862" i="2" s="1"/>
  <c r="L863" i="2"/>
  <c r="Q863" i="2" s="1"/>
  <c r="L864" i="2"/>
  <c r="Q864" i="2" s="1"/>
  <c r="L865" i="2"/>
  <c r="Q865" i="2" s="1"/>
  <c r="L866" i="2"/>
  <c r="Q866" i="2" s="1"/>
  <c r="L867" i="2"/>
  <c r="Q867" i="2" s="1"/>
  <c r="L868" i="2"/>
  <c r="Q868" i="2" s="1"/>
  <c r="L869" i="2"/>
  <c r="Q869" i="2" s="1"/>
  <c r="L870" i="2"/>
  <c r="Q870" i="2" s="1"/>
  <c r="L871" i="2"/>
  <c r="Q871" i="2" s="1"/>
  <c r="L872" i="2"/>
  <c r="Q872" i="2" s="1"/>
  <c r="L873" i="2"/>
  <c r="Q873" i="2" s="1"/>
  <c r="L874" i="2"/>
  <c r="Q874" i="2" s="1"/>
  <c r="L875" i="2"/>
  <c r="Q875" i="2" s="1"/>
  <c r="L876" i="2"/>
  <c r="Q876" i="2" s="1"/>
  <c r="L877" i="2"/>
  <c r="Q877" i="2" s="1"/>
  <c r="L878" i="2"/>
  <c r="Q878" i="2" s="1"/>
  <c r="L879" i="2"/>
  <c r="Q879" i="2" s="1"/>
  <c r="L880" i="2"/>
  <c r="Q880" i="2" s="1"/>
  <c r="L881" i="2"/>
  <c r="Q881" i="2" s="1"/>
  <c r="L882" i="2"/>
  <c r="Q882" i="2" s="1"/>
  <c r="L883" i="2"/>
  <c r="Q883" i="2" s="1"/>
  <c r="L884" i="2"/>
  <c r="Q884" i="2" s="1"/>
  <c r="L885" i="2"/>
  <c r="Q885" i="2" s="1"/>
  <c r="L886" i="2"/>
  <c r="Q886" i="2" s="1"/>
  <c r="L887" i="2"/>
  <c r="Q887" i="2" s="1"/>
  <c r="L888" i="2"/>
  <c r="Q888" i="2" s="1"/>
  <c r="L889" i="2"/>
  <c r="Q889" i="2" s="1"/>
  <c r="L890" i="2"/>
  <c r="Q890" i="2" s="1"/>
  <c r="L891" i="2"/>
  <c r="Q891" i="2" s="1"/>
  <c r="L892" i="2"/>
  <c r="Q892" i="2" s="1"/>
  <c r="L893" i="2"/>
  <c r="Q893" i="2" s="1"/>
  <c r="L894" i="2"/>
  <c r="Q894" i="2" s="1"/>
  <c r="L895" i="2"/>
  <c r="Q895" i="2" s="1"/>
  <c r="L896" i="2"/>
  <c r="Q896" i="2" s="1"/>
  <c r="L897" i="2"/>
  <c r="Q897" i="2" s="1"/>
  <c r="L898" i="2"/>
  <c r="Q898" i="2" s="1"/>
  <c r="L899" i="2"/>
  <c r="Q899" i="2" s="1"/>
  <c r="L900" i="2"/>
  <c r="Q900" i="2" s="1"/>
  <c r="L901" i="2"/>
  <c r="Q901" i="2" s="1"/>
  <c r="L902" i="2"/>
  <c r="Q902" i="2" s="1"/>
  <c r="L903" i="2"/>
  <c r="Q903" i="2" s="1"/>
  <c r="L904" i="2"/>
  <c r="Q904" i="2" s="1"/>
  <c r="L905" i="2"/>
  <c r="Q905" i="2" s="1"/>
  <c r="L906" i="2"/>
  <c r="Q906" i="2" s="1"/>
  <c r="L907" i="2"/>
  <c r="Q907" i="2" s="1"/>
  <c r="L908" i="2"/>
  <c r="Q908" i="2" s="1"/>
  <c r="L909" i="2"/>
  <c r="Q909" i="2" s="1"/>
  <c r="L910" i="2"/>
  <c r="Q910" i="2" s="1"/>
  <c r="L911" i="2"/>
  <c r="Q911" i="2" s="1"/>
  <c r="L912" i="2"/>
  <c r="Q912" i="2" s="1"/>
  <c r="L913" i="2"/>
  <c r="Q913" i="2" s="1"/>
  <c r="L914" i="2"/>
  <c r="Q914" i="2" s="1"/>
  <c r="L915" i="2"/>
  <c r="Q915" i="2" s="1"/>
  <c r="L916" i="2"/>
  <c r="Q916" i="2" s="1"/>
  <c r="L917" i="2"/>
  <c r="Q917" i="2" s="1"/>
  <c r="L918" i="2"/>
  <c r="Q918" i="2" s="1"/>
  <c r="L919" i="2"/>
  <c r="Q919" i="2" s="1"/>
  <c r="L920" i="2"/>
  <c r="Q920" i="2" s="1"/>
  <c r="L921" i="2"/>
  <c r="Q921" i="2" s="1"/>
  <c r="L922" i="2"/>
  <c r="Q922" i="2" s="1"/>
  <c r="L923" i="2"/>
  <c r="Q923" i="2" s="1"/>
  <c r="L924" i="2"/>
  <c r="Q924" i="2" s="1"/>
  <c r="L925" i="2"/>
  <c r="Q925" i="2" s="1"/>
  <c r="L926" i="2"/>
  <c r="Q926" i="2" s="1"/>
  <c r="L927" i="2"/>
  <c r="Q927" i="2" s="1"/>
  <c r="L928" i="2"/>
  <c r="Q928" i="2" s="1"/>
  <c r="L929" i="2"/>
  <c r="Q929" i="2" s="1"/>
  <c r="L930" i="2"/>
  <c r="Q930" i="2" s="1"/>
  <c r="L931" i="2"/>
  <c r="Q931" i="2" s="1"/>
  <c r="L932" i="2"/>
  <c r="Q932" i="2" s="1"/>
  <c r="L933" i="2"/>
  <c r="Q933" i="2" s="1"/>
  <c r="L934" i="2"/>
  <c r="Q934" i="2" s="1"/>
  <c r="L935" i="2"/>
  <c r="Q935" i="2" s="1"/>
  <c r="L936" i="2"/>
  <c r="Q936" i="2" s="1"/>
  <c r="L937" i="2"/>
  <c r="Q937" i="2" s="1"/>
  <c r="L938" i="2"/>
  <c r="Q938" i="2" s="1"/>
  <c r="L939" i="2"/>
  <c r="Q939" i="2" s="1"/>
  <c r="L940" i="2"/>
  <c r="Q940" i="2" s="1"/>
  <c r="L941" i="2"/>
  <c r="Q941" i="2" s="1"/>
  <c r="L942" i="2"/>
  <c r="Q942" i="2" s="1"/>
  <c r="L943" i="2"/>
  <c r="Q943" i="2" s="1"/>
  <c r="L944" i="2"/>
  <c r="Q944" i="2" s="1"/>
  <c r="L945" i="2"/>
  <c r="Q945" i="2" s="1"/>
  <c r="L946" i="2"/>
  <c r="Q946" i="2" s="1"/>
  <c r="L947" i="2"/>
  <c r="Q947" i="2" s="1"/>
  <c r="L948" i="2"/>
  <c r="Q948" i="2" s="1"/>
  <c r="L949" i="2"/>
  <c r="Q949" i="2" s="1"/>
  <c r="L950" i="2"/>
  <c r="Q950" i="2" s="1"/>
  <c r="L951" i="2"/>
  <c r="Q951" i="2" s="1"/>
  <c r="L952" i="2"/>
  <c r="Q952" i="2" s="1"/>
  <c r="L953" i="2"/>
  <c r="Q953" i="2" s="1"/>
  <c r="L954" i="2"/>
  <c r="Q954" i="2" s="1"/>
  <c r="L955" i="2"/>
  <c r="Q955" i="2" s="1"/>
  <c r="L956" i="2"/>
  <c r="Q956" i="2" s="1"/>
  <c r="L957" i="2"/>
  <c r="Q957" i="2" s="1"/>
  <c r="L958" i="2"/>
  <c r="Q958" i="2" s="1"/>
  <c r="L959" i="2"/>
  <c r="Q959" i="2" s="1"/>
  <c r="L960" i="2"/>
  <c r="Q960" i="2" s="1"/>
  <c r="L961" i="2"/>
  <c r="Q961" i="2" s="1"/>
  <c r="L962" i="2"/>
  <c r="Q962" i="2" s="1"/>
  <c r="L963" i="2"/>
  <c r="Q963" i="2" s="1"/>
  <c r="L964" i="2"/>
  <c r="Q964" i="2" s="1"/>
  <c r="L965" i="2"/>
  <c r="Q965" i="2" s="1"/>
  <c r="L966" i="2"/>
  <c r="Q966" i="2" s="1"/>
  <c r="L967" i="2"/>
  <c r="Q967" i="2" s="1"/>
  <c r="L968" i="2"/>
  <c r="Q968" i="2" s="1"/>
  <c r="L969" i="2"/>
  <c r="Q969" i="2" s="1"/>
  <c r="L970" i="2"/>
  <c r="Q970" i="2" s="1"/>
  <c r="L971" i="2"/>
  <c r="Q971" i="2" s="1"/>
  <c r="L972" i="2"/>
  <c r="Q972" i="2" s="1"/>
  <c r="L973" i="2"/>
  <c r="Q973" i="2" s="1"/>
  <c r="L974" i="2"/>
  <c r="Q974" i="2" s="1"/>
  <c r="L975" i="2"/>
  <c r="Q975" i="2" s="1"/>
  <c r="L976" i="2"/>
  <c r="Q976" i="2" s="1"/>
  <c r="L977" i="2"/>
  <c r="Q977" i="2" s="1"/>
  <c r="L978" i="2"/>
  <c r="Q978" i="2" s="1"/>
  <c r="L979" i="2"/>
  <c r="Q979" i="2" s="1"/>
  <c r="L980" i="2"/>
  <c r="Q980" i="2" s="1"/>
  <c r="L981" i="2"/>
  <c r="Q981" i="2" s="1"/>
  <c r="L982" i="2"/>
  <c r="Q982" i="2" s="1"/>
  <c r="L983" i="2"/>
  <c r="Q983" i="2" s="1"/>
  <c r="L984" i="2"/>
  <c r="Q984" i="2" s="1"/>
  <c r="L985" i="2"/>
  <c r="Q985" i="2" s="1"/>
  <c r="L986" i="2"/>
  <c r="Q986" i="2" s="1"/>
  <c r="L987" i="2"/>
  <c r="Q987" i="2" s="1"/>
  <c r="L988" i="2"/>
  <c r="Q988" i="2" s="1"/>
  <c r="L989" i="2"/>
  <c r="Q989" i="2" s="1"/>
  <c r="L990" i="2"/>
  <c r="Q990" i="2" s="1"/>
  <c r="L991" i="2"/>
  <c r="Q991" i="2" s="1"/>
  <c r="L992" i="2"/>
  <c r="Q992" i="2" s="1"/>
  <c r="L993" i="2"/>
  <c r="Q993" i="2" s="1"/>
  <c r="L994" i="2"/>
  <c r="Q994" i="2" s="1"/>
  <c r="L995" i="2"/>
  <c r="Q995" i="2" s="1"/>
  <c r="L996" i="2"/>
  <c r="Q996" i="2" s="1"/>
  <c r="L997" i="2"/>
  <c r="Q997" i="2" s="1"/>
  <c r="L998" i="2"/>
  <c r="Q998" i="2" s="1"/>
  <c r="L999" i="2"/>
  <c r="Q999" i="2" s="1"/>
  <c r="L1000" i="2"/>
  <c r="Q1000" i="2" s="1"/>
  <c r="L1001" i="2"/>
  <c r="Q1001" i="2" s="1"/>
  <c r="L1002" i="2"/>
  <c r="Q1002" i="2" s="1"/>
  <c r="L1003" i="2"/>
  <c r="Q100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73" i="8" l="1"/>
  <c r="I75" i="8" s="1"/>
  <c r="I80" i="8" s="1"/>
  <c r="M44" i="5" s="1"/>
  <c r="I72" i="8"/>
  <c r="I74" i="8" s="1"/>
  <c r="I79" i="8" s="1"/>
  <c r="M43" i="5" s="1"/>
  <c r="I56" i="8"/>
  <c r="I55" i="8"/>
  <c r="I59" i="8"/>
  <c r="I58" i="8"/>
  <c r="I57" i="8"/>
  <c r="J55" i="8"/>
  <c r="J59" i="8"/>
  <c r="J58" i="8"/>
  <c r="J57" i="8"/>
  <c r="J56"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cellMetadata count="1">
    <bk>
      <rc t="1" v="0"/>
    </bk>
  </cellMetadata>
  <valueMetadata count="7">
    <bk>
      <rc t="2" v="0"/>
    </bk>
    <bk>
      <rc t="2" v="1"/>
    </bk>
    <bk>
      <rc t="2" v="2"/>
    </bk>
    <bk>
      <rc t="2" v="3"/>
    </bk>
    <bk>
      <rc t="2" v="4"/>
    </bk>
    <bk>
      <rc t="2" v="5"/>
    </bk>
    <bk>
      <rc t="2" v="6"/>
    </bk>
  </valueMetadata>
</metadata>
</file>

<file path=xl/sharedStrings.xml><?xml version="1.0" encoding="utf-8"?>
<sst xmlns="http://schemas.openxmlformats.org/spreadsheetml/2006/main" count="3181" uniqueCount="1093">
  <si>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</si>
  <si>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</si>
  <si>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</si>
  <si>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</si>
  <si>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</si>
  <si>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</si>
  <si>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</si>
  <si>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</si>
  <si>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</si>
  <si>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</si>
  <si>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</si>
  <si>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</si>
  <si>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</si>
  <si>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</si>
  <si>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</si>
  <si>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</si>
  <si>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</si>
  <si>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</si>
  <si>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</si>
  <si>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</si>
  <si>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</si>
  <si>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</si>
  <si>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</si>
  <si>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</si>
  <si>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</si>
  <si>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</si>
  <si>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</si>
  <si>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</si>
  <si>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</si>
  <si>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</si>
  <si>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</si>
  <si>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</si>
  <si>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</si>
  <si>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</si>
  <si>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</si>
  <si>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</si>
  <si>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</si>
  <si>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</si>
  <si>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</si>
  <si>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</si>
  <si>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</si>
  <si>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</si>
  <si>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</si>
  <si>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</si>
  <si>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</si>
  <si>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</si>
  <si>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</si>
  <si>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</si>
  <si>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</si>
  <si>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</si>
  <si>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</si>
  <si>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</si>
  <si>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</si>
  <si>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</si>
  <si>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</si>
  <si>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</si>
  <si>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</si>
  <si>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</si>
  <si>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</si>
  <si>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</si>
  <si>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</si>
  <si>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</si>
  <si>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</si>
  <si>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</si>
  <si>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</si>
  <si>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</si>
  <si>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</si>
  <si>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</si>
  <si>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</si>
  <si>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</si>
  <si>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</si>
  <si>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</si>
  <si>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</si>
  <si>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</si>
  <si>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</si>
  <si>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</si>
  <si>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</si>
  <si>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</si>
  <si>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</si>
  <si>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</si>
  <si>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</si>
  <si>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</si>
  <si>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</si>
  <si>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</si>
  <si>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</si>
  <si>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</si>
  <si>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</si>
  <si>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</si>
  <si>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</si>
  <si>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</si>
  <si>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</si>
  <si>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</si>
  <si>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</si>
  <si>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</si>
  <si>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</si>
  <si>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</si>
  <si>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</si>
  <si>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</si>
  <si>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</si>
  <si>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</si>
  <si>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</si>
  <si>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</si>
  <si>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</si>
  <si>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</si>
  <si>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</si>
  <si>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</si>
  <si>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</si>
  <si>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</si>
  <si>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</si>
  <si>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</si>
  <si>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</si>
  <si>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</si>
  <si>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</si>
  <si>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</si>
  <si>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</si>
  <si>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</si>
  <si>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</si>
  <si>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</si>
  <si>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</si>
  <si>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</si>
  <si>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</si>
  <si>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</si>
  <si>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</si>
  <si>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</si>
  <si>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</si>
  <si>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</si>
  <si>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</si>
  <si>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</si>
  <si>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</si>
  <si>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</si>
  <si>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</si>
  <si>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</si>
  <si>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</si>
  <si>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</si>
  <si>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</si>
  <si>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</si>
  <si>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</si>
  <si>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</si>
  <si>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</si>
  <si>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</si>
  <si>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</si>
  <si>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</si>
  <si>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</si>
  <si>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</si>
  <si>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</si>
  <si>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</si>
  <si>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</si>
  <si>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</si>
  <si>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</si>
  <si>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</si>
  <si>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</si>
  <si>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</si>
  <si>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</si>
  <si>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</si>
  <si>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</si>
  <si>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</si>
  <si>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</si>
  <si>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</si>
  <si>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</si>
  <si>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</si>
  <si>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</si>
  <si>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</si>
  <si>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</si>
  <si>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</si>
  <si>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</si>
  <si>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</si>
  <si>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</si>
  <si>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</si>
  <si>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</si>
  <si>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</si>
  <si>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</si>
  <si>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</si>
  <si>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</si>
  <si>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</si>
  <si>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</si>
  <si>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</si>
  <si>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</si>
  <si>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</si>
  <si>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</si>
  <si>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</si>
  <si>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</si>
  <si>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</si>
  <si>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</si>
  <si>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</si>
  <si>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</si>
  <si>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</si>
  <si>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</si>
  <si>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</si>
  <si>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</si>
  <si>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</si>
  <si>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</si>
  <si>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</si>
  <si>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</si>
  <si>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</si>
  <si>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</si>
  <si>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</si>
  <si>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</si>
  <si>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</si>
  <si>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</si>
  <si>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</si>
  <si>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</si>
  <si>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</si>
  <si>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</si>
  <si>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</si>
  <si>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</si>
  <si>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</si>
  <si>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</si>
  <si>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</si>
  <si>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</si>
  <si>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</si>
  <si>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</si>
  <si>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</si>
  <si>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</si>
  <si>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</si>
  <si>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</si>
  <si>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</si>
  <si>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</si>
  <si>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</si>
  <si>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</si>
  <si>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</si>
  <si>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</si>
  <si>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</si>
  <si>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</si>
  <si>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</si>
  <si>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</si>
  <si>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</si>
  <si>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</si>
  <si>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</si>
  <si>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</si>
  <si>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</si>
  <si>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</si>
  <si>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</si>
  <si>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</si>
  <si>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</si>
  <si>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</si>
  <si>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</si>
  <si>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</si>
  <si>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</si>
  <si>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</si>
  <si>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</si>
  <si>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</si>
  <si>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</si>
  <si>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</si>
  <si>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</si>
  <si>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</si>
  <si>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</si>
  <si>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</si>
  <si>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</si>
  <si>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</si>
  <si>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</si>
  <si>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</si>
  <si>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</si>
  <si>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</si>
  <si>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</si>
  <si>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</si>
  <si>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</si>
  <si>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</si>
  <si>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</si>
  <si>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</si>
  <si>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</si>
  <si>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</si>
  <si>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</si>
  <si>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</si>
  <si>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</si>
  <si>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</si>
  <si>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</si>
  <si>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</si>
  <si>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</si>
  <si>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</si>
  <si>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</si>
  <si>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</si>
  <si>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</si>
  <si>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</si>
  <si>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</si>
  <si>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</si>
  <si>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</si>
  <si>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</si>
  <si>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</si>
  <si>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</si>
  <si>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</si>
  <si>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</si>
  <si>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</si>
  <si>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</si>
  <si>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</si>
  <si>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</si>
  <si>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</si>
  <si>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</si>
  <si>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</si>
  <si>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</si>
  <si>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</si>
  <si>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</si>
  <si>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</si>
  <si>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</si>
  <si>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</si>
  <si>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</si>
  <si>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</si>
  <si>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</si>
  <si>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</si>
  <si>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</si>
  <si>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</si>
  <si>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</si>
  <si>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</si>
  <si>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</si>
  <si>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</si>
  <si>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</si>
  <si>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</si>
  <si>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</si>
  <si>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</si>
  <si>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</si>
  <si>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</si>
  <si>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</si>
  <si>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</si>
  <si>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</si>
  <si>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</si>
  <si>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</si>
  <si>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</si>
  <si>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</si>
  <si>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</si>
  <si>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</si>
  <si>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</si>
  <si>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</si>
  <si>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</si>
  <si>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</si>
  <si>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</si>
  <si>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</si>
  <si>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</si>
  <si>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</si>
  <si>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</si>
  <si>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</si>
  <si>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</si>
  <si>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</si>
  <si>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</si>
  <si>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</si>
  <si>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</si>
  <si>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</si>
  <si>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</si>
  <si>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</si>
  <si>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</si>
  <si>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</si>
  <si>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</si>
  <si>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</si>
  <si>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</si>
  <si>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</si>
  <si>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</si>
  <si>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</si>
  <si>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</si>
  <si>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</si>
  <si>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</si>
  <si>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</si>
  <si>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</si>
  <si>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</si>
  <si>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</si>
  <si>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</si>
  <si>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</si>
  <si>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</si>
  <si>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</si>
  <si>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</si>
  <si>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</si>
  <si>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</si>
  <si>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</si>
  <si>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</si>
  <si>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</si>
  <si>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</si>
  <si>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</si>
  <si>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</si>
  <si>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</si>
  <si>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</si>
  <si>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</si>
  <si>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</si>
  <si>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</si>
  <si>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</si>
  <si>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</si>
  <si>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</si>
  <si>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</si>
  <si>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</si>
  <si>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</si>
  <si>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</si>
  <si>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</si>
  <si>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</si>
  <si>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</si>
  <si>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</si>
  <si>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</si>
  <si>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</si>
  <si>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</si>
  <si>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</si>
  <si>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</si>
  <si>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</si>
  <si>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</si>
  <si>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</si>
  <si>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</si>
  <si>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</si>
  <si>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</si>
  <si>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</si>
  <si>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</si>
  <si>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</si>
  <si>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</si>
  <si>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</si>
  <si>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</si>
  <si>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</si>
  <si>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</si>
  <si>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</si>
  <si>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</si>
  <si>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</si>
  <si>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</si>
  <si>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</si>
  <si>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</si>
  <si>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</si>
  <si>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</si>
  <si>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</si>
  <si>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</si>
  <si>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</si>
  <si>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</si>
  <si>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</si>
  <si>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</si>
  <si>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</si>
  <si>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</si>
  <si>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</si>
  <si>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</si>
  <si>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</si>
  <si>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</si>
  <si>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</si>
  <si>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</si>
  <si>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</si>
  <si>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</si>
  <si>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</si>
  <si>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</si>
  <si>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</si>
  <si>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</si>
  <si>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</si>
  <si>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</si>
  <si>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</si>
  <si>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</si>
  <si>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</si>
  <si>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</si>
  <si>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</si>
  <si>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</si>
  <si>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</si>
  <si>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</si>
  <si>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</si>
  <si>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</si>
  <si>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</si>
  <si>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</si>
  <si>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</si>
  <si>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</si>
  <si>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</si>
  <si>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</si>
  <si>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</si>
  <si>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</si>
  <si>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</si>
  <si>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</si>
  <si>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</si>
  <si>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</si>
  <si>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</si>
  <si>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</si>
  <si>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</si>
  <si>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</si>
  <si>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</si>
  <si>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</si>
  <si>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</si>
  <si>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</si>
  <si>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</si>
  <si>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</si>
  <si>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</si>
  <si>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</si>
  <si>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</si>
  <si>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</si>
  <si>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</si>
  <si>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</si>
  <si>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</si>
  <si>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</si>
  <si>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</si>
  <si>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</si>
  <si>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</si>
  <si>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</si>
  <si>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</si>
  <si>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</si>
  <si>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</si>
  <si>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</si>
  <si>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</si>
  <si>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</si>
  <si>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</si>
  <si>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</si>
  <si>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</si>
  <si>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</si>
  <si>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</si>
  <si>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</si>
  <si>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</si>
  <si>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</si>
  <si>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</si>
  <si>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</si>
  <si>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</si>
  <si>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</si>
  <si>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</si>
  <si>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</si>
  <si>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</si>
  <si>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</si>
  <si>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</si>
  <si>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</si>
  <si>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</si>
  <si>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</si>
  <si>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</si>
  <si>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</si>
  <si>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</si>
  <si>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</si>
  <si>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</si>
  <si>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</si>
  <si>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</si>
  <si>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</si>
  <si>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</si>
  <si>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</si>
  <si>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</si>
  <si>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</si>
  <si>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</si>
  <si>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</si>
  <si>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</si>
  <si>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</si>
  <si>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</si>
  <si>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</si>
  <si>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</si>
  <si>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</si>
  <si>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</si>
  <si>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</si>
  <si>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</si>
  <si>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</si>
  <si>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</si>
  <si>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</si>
  <si>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</si>
  <si>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</si>
  <si>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</si>
  <si>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</si>
  <si>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</si>
  <si>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</si>
  <si>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</si>
  <si>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</si>
  <si>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</si>
  <si>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</si>
  <si>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</si>
  <si>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</si>
  <si>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</si>
  <si>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</si>
  <si>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</si>
  <si>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</si>
  <si>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</si>
  <si>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</si>
  <si>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</si>
  <si>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</si>
  <si>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</si>
  <si>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</si>
  <si>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</si>
  <si>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</si>
  <si>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</si>
  <si>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</si>
  <si>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</si>
  <si>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</si>
  <si>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</si>
  <si>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</si>
  <si>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</si>
  <si>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</si>
  <si>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</si>
  <si>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</si>
  <si>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</si>
  <si>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</si>
  <si>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</si>
  <si>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</si>
  <si>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</si>
  <si>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</si>
  <si>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</si>
  <si>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</si>
  <si>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</si>
  <si>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</si>
  <si>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</si>
  <si>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</si>
  <si>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</si>
  <si>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</si>
  <si>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</si>
  <si>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</si>
  <si>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</si>
  <si>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</si>
  <si>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</si>
  <si>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</si>
  <si>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</si>
  <si>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</si>
  <si>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</si>
  <si>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</si>
  <si>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</si>
  <si>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</si>
  <si>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</si>
  <si>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</si>
  <si>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</si>
  <si>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</si>
  <si>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</si>
  <si>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</si>
  <si>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</si>
  <si>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</si>
  <si>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</si>
  <si>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</si>
  <si>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</si>
  <si>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</si>
  <si>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</si>
  <si>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</si>
  <si>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</si>
  <si>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</si>
  <si>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</si>
  <si>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</si>
  <si>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</si>
  <si>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</si>
  <si>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</si>
  <si>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</si>
  <si>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</si>
  <si>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</si>
  <si>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</si>
  <si>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</si>
  <si>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</si>
  <si>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</si>
  <si>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</si>
  <si>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</si>
  <si>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</si>
  <si>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</si>
  <si>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</si>
  <si>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</si>
  <si>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</si>
  <si>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</si>
  <si>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</si>
  <si>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</si>
  <si>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</si>
  <si>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</si>
  <si>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</si>
  <si>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</si>
  <si>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</si>
  <si>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</si>
  <si>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</si>
  <si>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</si>
  <si>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</si>
  <si>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</si>
  <si>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</si>
  <si>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</si>
  <si>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</si>
  <si>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</si>
  <si>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</si>
  <si>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</si>
  <si>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</si>
  <si>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</si>
  <si>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</si>
  <si>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</si>
  <si>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</si>
  <si>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</si>
  <si>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</si>
  <si>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</si>
  <si>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</si>
  <si>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</si>
  <si>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</si>
  <si>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</si>
  <si>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</si>
  <si>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</si>
  <si>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</si>
  <si>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</si>
  <si>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</si>
  <si>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</si>
  <si>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</si>
  <si>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</si>
  <si>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</si>
  <si>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</si>
  <si>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</si>
  <si>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</si>
  <si>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</si>
  <si>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</si>
  <si>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</si>
  <si>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</si>
  <si>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</si>
  <si>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</si>
  <si>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</si>
  <si>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</si>
  <si>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</si>
  <si>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</si>
  <si>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</si>
  <si>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</si>
  <si>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</si>
  <si>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</si>
  <si>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</si>
  <si>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</si>
  <si>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</si>
  <si>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</si>
  <si>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</si>
  <si>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</si>
  <si>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</si>
  <si>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</si>
  <si>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</si>
  <si>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</si>
  <si>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</si>
  <si>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</si>
  <si>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</si>
  <si>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</si>
  <si>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</si>
  <si>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</si>
  <si>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</si>
  <si>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</si>
  <si>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</si>
  <si>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</si>
  <si>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</si>
  <si>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</si>
  <si>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</si>
  <si>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</si>
  <si>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</si>
  <si>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</si>
  <si>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</si>
  <si>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</si>
  <si>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</si>
  <si>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</si>
  <si>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</si>
  <si>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</si>
  <si>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</si>
  <si>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</si>
  <si>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</si>
  <si>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</si>
  <si>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</si>
  <si>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</si>
  <si>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</si>
  <si>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</si>
  <si>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</si>
  <si>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</si>
  <si>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</si>
  <si>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</si>
  <si>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</si>
  <si>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</si>
  <si>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</si>
  <si>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</si>
  <si>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</si>
  <si>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</si>
  <si>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</si>
  <si>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</si>
  <si>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</si>
  <si>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</si>
  <si>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</si>
  <si>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</si>
  <si>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</si>
  <si>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</si>
  <si>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</si>
  <si>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</si>
  <si>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</si>
  <si>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</si>
  <si>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</si>
  <si>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</si>
  <si>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</si>
  <si>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</si>
  <si>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</si>
  <si>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</si>
  <si>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</si>
  <si>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</si>
  <si>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</si>
  <si>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</si>
  <si>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</si>
  <si>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</si>
  <si>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</si>
  <si>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</si>
  <si>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</si>
  <si>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</si>
  <si>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</si>
  <si>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</si>
  <si>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</si>
  <si>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</si>
  <si>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</si>
  <si>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</si>
  <si>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</si>
  <si>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</si>
  <si>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</si>
  <si>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</si>
  <si>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</si>
  <si>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</si>
  <si>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</si>
  <si>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</si>
  <si>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</si>
  <si>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</si>
  <si>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</si>
  <si>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</si>
  <si>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</si>
  <si>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</si>
  <si>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</si>
  <si>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</si>
  <si>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</si>
  <si>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</si>
  <si>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</si>
  <si>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</si>
  <si>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</si>
  <si>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</si>
  <si>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</si>
  <si>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</si>
  <si>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</si>
  <si>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</si>
  <si>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</si>
  <si>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</si>
  <si>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</si>
  <si>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</si>
  <si>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</si>
  <si>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</si>
  <si>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</si>
  <si>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</si>
  <si>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</si>
  <si>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</si>
  <si>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</si>
  <si>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</si>
  <si>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</si>
  <si>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</si>
  <si>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</si>
  <si>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</si>
  <si>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</si>
  <si>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</si>
  <si>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</si>
  <si>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</si>
  <si>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</si>
  <si>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</si>
  <si>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</si>
  <si>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</si>
  <si>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</si>
  <si>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</si>
  <si>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</si>
  <si>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</si>
  <si>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</si>
  <si>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</si>
  <si>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</si>
  <si>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</si>
  <si>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</si>
  <si>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</si>
  <si>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</si>
  <si>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</si>
  <si>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</si>
  <si>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</si>
  <si>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</si>
  <si>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</si>
  <si>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</si>
  <si>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</si>
  <si>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</si>
  <si>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</si>
  <si>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</si>
  <si>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</si>
  <si>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</si>
  <si>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</si>
  <si>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</si>
  <si>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</si>
  <si>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</si>
  <si>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</si>
  <si>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</si>
  <si>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</si>
  <si>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</si>
  <si>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</si>
  <si>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</si>
  <si>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</si>
  <si>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</si>
  <si>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</si>
  <si>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</si>
  <si>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</si>
  <si>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</si>
  <si>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</si>
  <si>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</si>
  <si>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</si>
  <si>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</si>
  <si>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</si>
  <si>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</si>
  <si>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</si>
  <si>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</si>
  <si>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</si>
  <si>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</si>
  <si>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</si>
  <si>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</si>
  <si>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</si>
  <si>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</si>
  <si>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</si>
  <si>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</si>
  <si>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</si>
  <si>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</si>
  <si>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</si>
  <si>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</si>
  <si>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</si>
  <si>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</si>
  <si>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</si>
  <si>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</si>
  <si>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</si>
  <si>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</si>
  <si>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</si>
  <si>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</si>
  <si>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</si>
  <si>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</si>
  <si>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</si>
  <si>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</si>
  <si>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</si>
  <si>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</si>
  <si>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</si>
  <si>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</si>
  <si>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</si>
  <si>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</si>
  <si>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</si>
  <si>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</si>
  <si>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</si>
  <si>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</si>
  <si>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</si>
  <si>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</si>
  <si>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</si>
  <si>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</si>
  <si>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</si>
  <si>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</si>
  <si>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</si>
  <si>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</si>
  <si>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</si>
  <si>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</si>
  <si>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</si>
  <si>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</si>
  <si>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</si>
  <si>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</si>
  <si>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</si>
  <si>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</si>
  <si>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</si>
  <si>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</si>
  <si>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</si>
  <si>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</si>
  <si>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</si>
  <si>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</si>
  <si>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</si>
  <si>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</si>
  <si>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</si>
  <si>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</si>
  <si>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</si>
  <si>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</si>
  <si>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</si>
  <si>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</si>
  <si>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</si>
  <si>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</si>
  <si>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</si>
  <si>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</si>
  <si>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</si>
  <si>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</si>
  <si>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</si>
  <si>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</si>
  <si>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</si>
  <si>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</si>
  <si>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</si>
  <si>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</si>
  <si>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</si>
  <si>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</si>
  <si>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</si>
  <si>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</si>
  <si>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</si>
  <si>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</si>
  <si>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</si>
  <si>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</si>
  <si>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</si>
  <si>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</si>
  <si>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</si>
  <si>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</si>
  <si>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</si>
  <si>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</si>
  <si>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</si>
  <si>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</si>
  <si>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</si>
  <si>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</si>
  <si>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</si>
  <si>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</si>
  <si>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</si>
  <si>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</si>
  <si>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</si>
  <si>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</si>
  <si>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</si>
  <si>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</si>
  <si>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</si>
  <si>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</si>
  <si>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</si>
  <si>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</si>
  <si>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</si>
  <si>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</si>
  <si>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</si>
  <si>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</si>
  <si>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</si>
  <si>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</si>
  <si>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</si>
  <si>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</si>
  <si>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</si>
  <si>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</si>
  <si>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</si>
  <si>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</si>
  <si>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</si>
  <si>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</si>
  <si>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</si>
  <si>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</si>
  <si>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</si>
  <si>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</si>
  <si>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</si>
  <si>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</si>
  <si>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</si>
  <si>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</si>
  <si>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</si>
  <si>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</si>
  <si>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</si>
  <si>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</si>
  <si>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</si>
  <si>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</si>
  <si>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</si>
  <si>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</si>
  <si>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</si>
  <si>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</si>
  <si>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</si>
  <si>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</si>
  <si>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</si>
  <si>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</si>
  <si>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</si>
  <si>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</si>
  <si>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</si>
  <si>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</si>
  <si>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</si>
  <si>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</si>
  <si>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</si>
  <si>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</si>
  <si>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</si>
  <si>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</si>
  <si>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</si>
  <si>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</si>
  <si>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</si>
  <si>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</si>
  <si>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</si>
  <si>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</si>
  <si>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</si>
  <si>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</si>
  <si>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</si>
  <si>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</si>
  <si>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</si>
  <si>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</si>
  <si>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</si>
  <si>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</si>
  <si>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</si>
  <si>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</si>
  <si>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</si>
  <si>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</si>
  <si>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</si>
  <si>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</si>
  <si>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</si>
  <si>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</si>
  <si>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</si>
  <si>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</si>
  <si>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</si>
  <si>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</si>
  <si>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</si>
  <si>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</si>
  <si>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</si>
  <si>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</si>
  <si>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</si>
  <si>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</si>
  <si>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</si>
  <si>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Sum of Duration</t>
  </si>
  <si>
    <t>Avg Satisfaction Rating</t>
  </si>
  <si>
    <t>5 star</t>
  </si>
  <si>
    <t>Sum of 5 star</t>
  </si>
  <si>
    <t>Row Labels</t>
  </si>
  <si>
    <t>Grand Total</t>
  </si>
  <si>
    <t>Jan</t>
  </si>
  <si>
    <t>Feb</t>
  </si>
  <si>
    <t>Mar</t>
  </si>
  <si>
    <t>Apr</t>
  </si>
  <si>
    <t>May</t>
  </si>
  <si>
    <t>Jun</t>
  </si>
  <si>
    <t>Jul</t>
  </si>
  <si>
    <t>Aug</t>
  </si>
  <si>
    <t>Sep</t>
  </si>
  <si>
    <t>Oct</t>
  </si>
  <si>
    <t>Nov</t>
  </si>
  <si>
    <t>Dec</t>
  </si>
  <si>
    <t>Sum of call count</t>
  </si>
  <si>
    <t>Sum of call count2</t>
  </si>
  <si>
    <t>Sunday</t>
  </si>
  <si>
    <t>Monday</t>
  </si>
  <si>
    <t>Tuesday</t>
  </si>
  <si>
    <t>Wednesday</t>
  </si>
  <si>
    <t>Thursday</t>
  </si>
  <si>
    <t>Friday</t>
  </si>
  <si>
    <t>Saturday</t>
  </si>
  <si>
    <t>Sum of Purchase Amount</t>
  </si>
  <si>
    <t>for graphs</t>
  </si>
  <si>
    <t>rap</t>
  </si>
  <si>
    <t>calls</t>
  </si>
  <si>
    <t>amount</t>
  </si>
  <si>
    <t>sel.Calls</t>
  </si>
  <si>
    <t>Sel.Amount</t>
  </si>
  <si>
    <t>selected rep</t>
  </si>
  <si>
    <t>Column Labels</t>
  </si>
  <si>
    <t>R3</t>
  </si>
  <si>
    <t>R2</t>
  </si>
  <si>
    <t>R1</t>
  </si>
  <si>
    <t>R4</t>
  </si>
  <si>
    <t>R5</t>
  </si>
  <si>
    <t>TOTAL</t>
  </si>
  <si>
    <t>Rep  Summary</t>
  </si>
  <si>
    <t>% of calls</t>
  </si>
  <si>
    <t>call rank</t>
  </si>
  <si>
    <t>Amount rank</t>
  </si>
  <si>
    <t xml:space="preserve">Calls </t>
  </si>
  <si>
    <t>labels: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</si>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</sst>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409]#,##0"/>
    <numFmt numFmtId="166" formatCode="\$#,###.0,&quot;k&quot;"/>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rgb="FFF170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9" fontId="4" fillId="0" borderId="0" applyFont="0" applyFill="0" applyBorder="0" applyAlignment="0" applyProtection="0"/>
  </cellStyleXfs>
  <cellXfs count="4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5" fontId="0" fillId="0" borderId="0" xfId="0" applyNumberFormat="1"/>
    <xf numFmtId="1" fontId="0" fillId="0" borderId="0" xfId="0" applyNumberFormat="1"/>
    <xf numFmtId="0" fontId="0" fillId="3" borderId="0" xfId="0" applyFill="1"/>
    <xf numFmtId="0" fontId="0" fillId="0" borderId="0" xfId="0" pivotButton="1"/>
    <xf numFmtId="0" fontId="0" fillId="0" borderId="0" xfId="0" applyAlignment="1">
      <alignment horizontal="left"/>
    </xf>
    <xf numFmtId="166" fontId="0" fillId="0" borderId="0" xfId="0" applyNumberFormat="1"/>
    <xf numFmtId="0" fontId="0" fillId="0" borderId="19" xfId="0" applyBorder="1"/>
    <xf numFmtId="0" fontId="0" fillId="0" borderId="0" xfId="0" applyAlignment="1">
      <alignment horizontal="left" indent="1"/>
    </xf>
    <xf numFmtId="165" fontId="0" fillId="3" borderId="0" xfId="0" applyNumberFormat="1" applyFill="1"/>
    <xf numFmtId="165" fontId="0" fillId="4" borderId="0" xfId="0" applyNumberFormat="1" applyFill="1"/>
    <xf numFmtId="9" fontId="0" fillId="0" borderId="0" xfId="1" applyFont="1"/>
    <xf numFmtId="0" fontId="0" fillId="3" borderId="0" xfId="0" applyFill="1" applyAlignment="1">
      <alignment horizontal="center"/>
    </xf>
    <xf numFmtId="0" fontId="0" fillId="0" borderId="0" xfId="0" applyNumberFormat="1"/>
  </cellXfs>
  <cellStyles count="2">
    <cellStyle name="Normal" xfId="0" builtinId="0"/>
    <cellStyle name="Per cent" xfId="1" builtinId="5"/>
  </cellStyles>
  <dxfs count="23">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5" formatCode="[$$-409]#,##0"/>
    </dxf>
    <dxf>
      <font>
        <b/>
        <color theme="1"/>
      </font>
      <border>
        <bottom style="thin">
          <color theme="5"/>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2"/>
    </tableStyle>
    <tableStyle name="SlicerStyleLight2 2" pivot="0" table="0" count="10" xr9:uid="{EA649A36-BAA7-DF46-9CDF-5E4742B9D967}">
      <tableStyleElement type="wholeTable" dxfId="21"/>
      <tableStyleElement type="headerRow" dxfId="20"/>
    </tableStyle>
  </tableStyles>
  <colors>
    <mruColors>
      <color rgb="FFF17000"/>
      <color rgb="FFF52700"/>
      <color rgb="FFFB810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2 2">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[dash.xlsx]Sheet4!week</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7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49962961946831"/>
          <c:y val="0.15782407407407409"/>
          <c:w val="0.66919203849518805"/>
          <c:h val="0.72125801983085447"/>
        </c:manualLayout>
      </c:layout>
      <c:barChart>
        <c:barDir val="bar"/>
        <c:grouping val="clustered"/>
        <c:varyColors val="0"/>
        <c:ser>
          <c:idx val="0"/>
          <c:order val="0"/>
          <c:tx>
            <c:strRef>
              <c:f>Sheet4!$H$19</c:f>
              <c:strCache>
                <c:ptCount val="1"/>
                <c:pt idx="0">
                  <c:v>Total</c:v>
                </c:pt>
              </c:strCache>
            </c:strRef>
          </c:tx>
          <c:spPr>
            <a:solidFill>
              <a:srgbClr val="F17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Sheet4!$G$20:$G$27</c:f>
              <c:strCache>
                <c:ptCount val="7"/>
                <c:pt idx="0">
                  <c:v>Sunday</c:v>
                </c:pt>
                <c:pt idx="1">
                  <c:v>Monday</c:v>
                </c:pt>
                <c:pt idx="2">
                  <c:v>Tuesday</c:v>
                </c:pt>
                <c:pt idx="3">
                  <c:v>Wednesday</c:v>
                </c:pt>
                <c:pt idx="4">
                  <c:v>Thursday</c:v>
                </c:pt>
                <c:pt idx="5">
                  <c:v>Friday</c:v>
                </c:pt>
                <c:pt idx="6">
                  <c:v>Saturday</c:v>
                </c:pt>
              </c:strCache>
            </c:strRef>
          </c:cat>
          <c:val>
            <c:numRef>
              <c:f>Sheet4!$H$20:$H$27</c:f>
              <c:numCache>
                <c:formatCode>General</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C3BD-4C45-ADF0-57E9C57A6151}"/>
            </c:ext>
          </c:extLst>
        </c:ser>
        <c:dLbls>
          <c:showLegendKey val="0"/>
          <c:showVal val="0"/>
          <c:showCatName val="0"/>
          <c:showSerName val="0"/>
          <c:showPercent val="0"/>
          <c:showBubbleSize val="0"/>
        </c:dLbls>
        <c:gapWidth val="25"/>
        <c:axId val="881185088"/>
        <c:axId val="881186800"/>
      </c:barChart>
      <c:catAx>
        <c:axId val="881185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86800"/>
        <c:crosses val="autoZero"/>
        <c:auto val="1"/>
        <c:lblAlgn val="ctr"/>
        <c:lblOffset val="100"/>
        <c:noMultiLvlLbl val="0"/>
      </c:catAx>
      <c:valAx>
        <c:axId val="881186800"/>
        <c:scaling>
          <c:orientation val="minMax"/>
        </c:scaling>
        <c:delete val="1"/>
        <c:axPos val="t"/>
        <c:numFmt formatCode="General" sourceLinked="1"/>
        <c:majorTickMark val="none"/>
        <c:minorTickMark val="none"/>
        <c:tickLblPos val="nextTo"/>
        <c:crossAx val="88118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[dash.xlsx]Sheet4!month</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schemeClr>
              </a:gs>
              <a:gs pos="100000">
                <a:srgbClr val="F52700"/>
              </a:gs>
              <a:gs pos="100000">
                <a:schemeClr val="accent1">
                  <a:lumMod val="45000"/>
                  <a:lumOff val="55000"/>
                </a:schemeClr>
              </a:gs>
              <a:gs pos="0">
                <a:srgbClr val="FB810D">
                  <a:alpha val="50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17000"/>
            </a:solidFill>
            <a:round/>
          </a:ln>
          <a:effectLst/>
        </c:spPr>
        <c:marker>
          <c:symbol val="circle"/>
          <c:size val="5"/>
          <c:spPr>
            <a:solidFill>
              <a:schemeClr val="bg1"/>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17000"/>
            </a:solidFill>
            <a:round/>
          </a:ln>
          <a:effectLst/>
        </c:spPr>
        <c:marker>
          <c:symbol val="circle"/>
          <c:size val="5"/>
          <c:spPr>
            <a:solidFill>
              <a:schemeClr val="bg1"/>
            </a:solidFill>
            <a:ln w="9525">
              <a:solidFill>
                <a:schemeClr val="tx1">
                  <a:lumMod val="95000"/>
                  <a:lumOff val="5000"/>
                </a:schemeClr>
              </a:solidFill>
            </a:ln>
            <a:effectLst/>
          </c:spPr>
        </c:marker>
      </c:pivotFmt>
      <c:pivotFmt>
        <c:idx val="7"/>
        <c:spPr>
          <a:ln w="28575" cap="rnd">
            <a:solidFill>
              <a:srgbClr val="F17000"/>
            </a:solidFill>
            <a:round/>
          </a:ln>
          <a:effectLst/>
        </c:spPr>
        <c:marker>
          <c:symbol val="circle"/>
          <c:size val="5"/>
          <c:spPr>
            <a:solidFill>
              <a:schemeClr val="bg1"/>
            </a:solidFill>
            <a:ln w="9525">
              <a:solidFill>
                <a:schemeClr val="tx1">
                  <a:lumMod val="95000"/>
                  <a:lumOff val="5000"/>
                </a:schemeClr>
              </a:solidFill>
            </a:ln>
            <a:effectLst/>
          </c:spPr>
        </c:marker>
      </c:pivotFmt>
    </c:pivotFmts>
    <c:plotArea>
      <c:layout>
        <c:manualLayout>
          <c:layoutTarget val="inner"/>
          <c:xMode val="edge"/>
          <c:yMode val="edge"/>
          <c:x val="0.16230314960629921"/>
          <c:y val="0.11152777777777778"/>
          <c:w val="0.74380774278215223"/>
          <c:h val="0.72125801983085447"/>
        </c:manualLayout>
      </c:layout>
      <c:areaChart>
        <c:grouping val="standard"/>
        <c:varyColors val="0"/>
        <c:ser>
          <c:idx val="1"/>
          <c:order val="1"/>
          <c:tx>
            <c:strRef>
              <c:f>Sheet4!$C$17</c:f>
              <c:strCache>
                <c:ptCount val="1"/>
                <c:pt idx="0">
                  <c:v>Sum of call count2</c:v>
                </c:pt>
              </c:strCache>
            </c:strRef>
          </c:tx>
          <c:spPr>
            <a:gradFill flip="none" rotWithShape="1">
              <a:gsLst>
                <a:gs pos="0">
                  <a:schemeClr val="accent1">
                    <a:lumMod val="5000"/>
                    <a:lumOff val="95000"/>
                  </a:schemeClr>
                </a:gs>
                <a:gs pos="100000">
                  <a:srgbClr val="F52700"/>
                </a:gs>
                <a:gs pos="100000">
                  <a:schemeClr val="accent1">
                    <a:lumMod val="45000"/>
                    <a:lumOff val="55000"/>
                  </a:schemeClr>
                </a:gs>
                <a:gs pos="0">
                  <a:srgbClr val="FB810D">
                    <a:alpha val="50000"/>
                  </a:srgbClr>
                </a:gs>
              </a:gsLst>
              <a:lin ang="16200000" scaled="1"/>
              <a:tileRect/>
            </a:gradFill>
            <a:ln>
              <a:noFill/>
            </a:ln>
            <a:effectLst/>
          </c:spPr>
          <c:cat>
            <c:strRef>
              <c:f>Sheet4!$A$18:$A$30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Sheet4!$C$18:$C$30</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B639-E247-8953-486F009E958B}"/>
            </c:ext>
          </c:extLst>
        </c:ser>
        <c:dLbls>
          <c:showLegendKey val="0"/>
          <c:showVal val="0"/>
          <c:showCatName val="0"/>
          <c:showSerName val="0"/>
          <c:showPercent val="0"/>
          <c:showBubbleSize val="0"/>
        </c:dLbls>
        <c:axId val="855594880"/>
        <c:axId val="116643408"/>
      </c:areaChart>
      <c:lineChart>
        <c:grouping val="standard"/>
        <c:varyColors val="0"/>
        <c:ser>
          <c:idx val="0"/>
          <c:order val="0"/>
          <c:tx>
            <c:strRef>
              <c:f>Sheet4!$B$17</c:f>
              <c:strCache>
                <c:ptCount val="1"/>
                <c:pt idx="0">
                  <c:v>Sum of call count</c:v>
                </c:pt>
              </c:strCache>
            </c:strRef>
          </c:tx>
          <c:spPr>
            <a:ln w="28575" cap="rnd">
              <a:solidFill>
                <a:srgbClr val="F17000"/>
              </a:solidFill>
              <a:round/>
            </a:ln>
            <a:effectLst/>
          </c:spPr>
          <c:marker>
            <c:symbol val="circle"/>
            <c:size val="5"/>
            <c:spPr>
              <a:solidFill>
                <a:schemeClr val="bg1"/>
              </a:solidFill>
              <a:ln w="9525">
                <a:solidFill>
                  <a:schemeClr val="tx1">
                    <a:lumMod val="95000"/>
                    <a:lumOff val="5000"/>
                  </a:schemeClr>
                </a:solidFill>
              </a:ln>
              <a:effectLst/>
            </c:spPr>
          </c:marker>
          <c:cat>
            <c:strRef>
              <c:f>Sheet4!$A$18:$A$30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Sheet4!$B$18:$B$30</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B639-E247-8953-486F009E958B}"/>
            </c:ext>
          </c:extLst>
        </c:ser>
        <c:dLbls>
          <c:showLegendKey val="0"/>
          <c:showVal val="0"/>
          <c:showCatName val="0"/>
          <c:showSerName val="0"/>
          <c:showPercent val="0"/>
          <c:showBubbleSize val="0"/>
        </c:dLbls>
        <c:marker val="1"/>
        <c:smooth val="0"/>
        <c:axId val="855594880"/>
        <c:axId val="116643408"/>
      </c:lineChart>
      <c:catAx>
        <c:axId val="85559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43408"/>
        <c:crosses val="autoZero"/>
        <c:auto val="1"/>
        <c:lblAlgn val="ctr"/>
        <c:lblOffset val="100"/>
        <c:noMultiLvlLbl val="0"/>
      </c:catAx>
      <c:valAx>
        <c:axId val="11664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59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F17000"/>
                </a:solidFill>
              </a:rPr>
              <a:t>Calls</a:t>
            </a:r>
          </a:p>
          <a:p>
            <a:pPr>
              <a:defRPr/>
            </a:pPr>
            <a:endParaRPr lang="en-GB"/>
          </a:p>
        </c:rich>
      </c:tx>
      <c:layout>
        <c:manualLayout>
          <c:xMode val="edge"/>
          <c:yMode val="edge"/>
          <c:x val="0.11863308558392816"/>
          <c:y val="3.240740740740740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(Sheet4!$F$55,Sheet4!$F$56,Sheet4!$F$57,Sheet4!$F$58,Sheet4!$F$59)</c:f>
              <c:strCache>
                <c:ptCount val="5"/>
                <c:pt idx="0">
                  <c:v>R01</c:v>
                </c:pt>
                <c:pt idx="1">
                  <c:v>R02</c:v>
                </c:pt>
                <c:pt idx="2">
                  <c:v>R03</c:v>
                </c:pt>
                <c:pt idx="3">
                  <c:v>R04</c:v>
                </c:pt>
                <c:pt idx="4">
                  <c:v>R05</c:v>
                </c:pt>
              </c:strCache>
            </c:strRef>
          </c:cat>
          <c:val>
            <c:numRef>
              <c:f>(Sheet4!$H$55,Sheet4!$H$56,Sheet4!$H$57,Sheet4!$H$58,Sheet4!$H$59)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CD7-844C-B1DE-28BA64E0A438}"/>
            </c:ext>
          </c:extLst>
        </c:ser>
        <c:ser>
          <c:idx val="1"/>
          <c:order val="1"/>
          <c:tx>
            <c:strRef>
              <c:f>Sheet4!$J$54</c:f>
              <c:strCache>
                <c:ptCount val="1"/>
                <c:pt idx="0">
                  <c:v>Sel.Amount</c:v>
                </c:pt>
              </c:strCache>
            </c:strRef>
          </c:tx>
          <c:spPr>
            <a:gradFill>
              <a:gsLst>
                <a:gs pos="0">
                  <a:srgbClr val="F17000"/>
                </a:gs>
                <a:gs pos="4000">
                  <a:srgbClr val="F17000"/>
                </a:gs>
                <a:gs pos="100000">
                  <a:srgbClr val="F52700"/>
                </a:gs>
                <a:gs pos="100000">
                  <a:srgbClr val="F52700"/>
                </a:gs>
              </a:gsLst>
              <a:lin ang="5400000" scaled="1"/>
            </a:gradFill>
            <a:ln>
              <a:noFill/>
            </a:ln>
            <a:effectLst/>
          </c:spPr>
          <c:invertIfNegative val="0"/>
          <c:val>
            <c:numRef>
              <c:f>Sheet4!$J$55:$J$59</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2CD7-844C-B1DE-28BA64E0A438}"/>
            </c:ext>
          </c:extLst>
        </c:ser>
        <c:dLbls>
          <c:showLegendKey val="0"/>
          <c:showVal val="0"/>
          <c:showCatName val="0"/>
          <c:showSerName val="0"/>
          <c:showPercent val="0"/>
          <c:showBubbleSize val="0"/>
        </c:dLbls>
        <c:gapWidth val="25"/>
        <c:overlap val="100"/>
        <c:axId val="603808736"/>
        <c:axId val="603861408"/>
      </c:barChart>
      <c:catAx>
        <c:axId val="6038087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61408"/>
        <c:crosses val="autoZero"/>
        <c:auto val="1"/>
        <c:lblAlgn val="ctr"/>
        <c:lblOffset val="100"/>
        <c:noMultiLvlLbl val="0"/>
      </c:catAx>
      <c:valAx>
        <c:axId val="603861408"/>
        <c:scaling>
          <c:orientation val="minMax"/>
        </c:scaling>
        <c:delete val="1"/>
        <c:axPos val="t"/>
        <c:numFmt formatCode="\$#,###.0,&quot;k&quot;" sourceLinked="1"/>
        <c:majorTickMark val="none"/>
        <c:minorTickMark val="none"/>
        <c:tickLblPos val="nextTo"/>
        <c:crossAx val="6038087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F17000"/>
                </a:solidFill>
              </a:rPr>
              <a:t>Amount</a:t>
            </a:r>
          </a:p>
        </c:rich>
      </c:tx>
      <c:layout>
        <c:manualLayout>
          <c:xMode val="edge"/>
          <c:yMode val="edge"/>
          <c:x val="0.1030501450476585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(Sheet4!$F$55,Sheet4!$F$56,Sheet4!$F$57,Sheet4!$F$58,Sheet4!$F$59)</c:f>
              <c:strCache>
                <c:ptCount val="5"/>
                <c:pt idx="0">
                  <c:v>R01</c:v>
                </c:pt>
                <c:pt idx="1">
                  <c:v>R02</c:v>
                </c:pt>
                <c:pt idx="2">
                  <c:v>R03</c:v>
                </c:pt>
                <c:pt idx="3">
                  <c:v>R04</c:v>
                </c:pt>
                <c:pt idx="4">
                  <c:v>R05</c:v>
                </c:pt>
              </c:strCache>
            </c:strRef>
          </c:cat>
          <c:val>
            <c:numRef>
              <c:f>(Sheet4!$G$55,Sheet4!$G$56,Sheet4!$G$57,Sheet4!$G$58,Sheet4!$G$59)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F027-AA44-B04D-AD4366730471}"/>
            </c:ext>
          </c:extLst>
        </c:ser>
        <c:ser>
          <c:idx val="1"/>
          <c:order val="1"/>
          <c:tx>
            <c:strRef>
              <c:f>Sheet4!$I$54</c:f>
              <c:strCache>
                <c:ptCount val="1"/>
                <c:pt idx="0">
                  <c:v>sel.Calls</c:v>
                </c:pt>
              </c:strCache>
            </c:strRef>
          </c:tx>
          <c:spPr>
            <a:gradFill>
              <a:gsLst>
                <a:gs pos="0">
                  <a:srgbClr val="F17000"/>
                </a:gs>
                <a:gs pos="4000">
                  <a:srgbClr val="F17000"/>
                </a:gs>
                <a:gs pos="100000">
                  <a:srgbClr val="F52700"/>
                </a:gs>
                <a:gs pos="100000">
                  <a:srgbClr val="F52700"/>
                </a:gs>
              </a:gsLst>
              <a:lin ang="5400000" scaled="1"/>
            </a:gradFill>
            <a:ln>
              <a:noFill/>
            </a:ln>
            <a:effectLst/>
          </c:spPr>
          <c:invertIfNegative val="0"/>
          <c:val>
            <c:numRef>
              <c:f>Sheet4!$I$55:$I$59</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F027-AA44-B04D-AD4366730471}"/>
            </c:ext>
          </c:extLst>
        </c:ser>
        <c:dLbls>
          <c:showLegendKey val="0"/>
          <c:showVal val="0"/>
          <c:showCatName val="0"/>
          <c:showSerName val="0"/>
          <c:showPercent val="0"/>
          <c:showBubbleSize val="0"/>
        </c:dLbls>
        <c:gapWidth val="25"/>
        <c:overlap val="100"/>
        <c:axId val="214316688"/>
        <c:axId val="214318400"/>
      </c:barChart>
      <c:catAx>
        <c:axId val="2143166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18400"/>
        <c:crosses val="autoZero"/>
        <c:auto val="1"/>
        <c:lblAlgn val="ctr"/>
        <c:lblOffset val="100"/>
        <c:noMultiLvlLbl val="0"/>
      </c:catAx>
      <c:valAx>
        <c:axId val="214318400"/>
        <c:scaling>
          <c:orientation val="minMax"/>
          <c:min val="0"/>
        </c:scaling>
        <c:delete val="1"/>
        <c:axPos val="t"/>
        <c:numFmt formatCode="General" sourceLinked="1"/>
        <c:majorTickMark val="none"/>
        <c:minorTickMark val="none"/>
        <c:tickLblPos val="nextTo"/>
        <c:crossAx val="21431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[dash.xlsx]Sheet4!PivotTable3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2"/>
          </a:solidFill>
          <a:ln>
            <a:noFill/>
          </a:ln>
          <a:effectLst/>
        </c:spPr>
      </c:pivotFmt>
    </c:pivotFmts>
    <c:plotArea>
      <c:layout>
        <c:manualLayout>
          <c:layoutTarget val="inner"/>
          <c:xMode val="edge"/>
          <c:yMode val="edge"/>
          <c:x val="0.10465048118985125"/>
          <c:y val="0.16618395595302152"/>
          <c:w val="0.72206736657917758"/>
          <c:h val="0.74993524331590145"/>
        </c:manualLayout>
      </c:layout>
      <c:barChart>
        <c:barDir val="col"/>
        <c:grouping val="percentStacked"/>
        <c:varyColors val="0"/>
        <c:ser>
          <c:idx val="0"/>
          <c:order val="0"/>
          <c:tx>
            <c:strRef>
              <c:f>Sheet4!$E$85:$E$86</c:f>
              <c:strCache>
                <c:ptCount val="1"/>
                <c:pt idx="0">
                  <c:v>Female</c:v>
                </c:pt>
              </c:strCache>
            </c:strRef>
          </c:tx>
          <c:spPr>
            <a:solidFill>
              <a:schemeClr val="accent1"/>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Sheet4!$D$87:$D$90</c:f>
              <c:strCache>
                <c:ptCount val="3"/>
                <c:pt idx="0">
                  <c:v>Cincinnati</c:v>
                </c:pt>
                <c:pt idx="1">
                  <c:v>Cleveland</c:v>
                </c:pt>
                <c:pt idx="2">
                  <c:v>Columbus</c:v>
                </c:pt>
              </c:strCache>
            </c:strRef>
          </c:cat>
          <c:val>
            <c:numRef>
              <c:f>Sheet4!$E$87:$E$90</c:f>
              <c:numCache>
                <c:formatCode>General</c:formatCode>
                <c:ptCount val="3"/>
                <c:pt idx="0">
                  <c:v>144</c:v>
                </c:pt>
                <c:pt idx="1">
                  <c:v>326</c:v>
                </c:pt>
                <c:pt idx="2">
                  <c:v>129</c:v>
                </c:pt>
              </c:numCache>
            </c:numRef>
          </c:val>
          <c:extLst>
            <c:ext xmlns:c16="http://schemas.microsoft.com/office/drawing/2014/chart" uri="{C3380CC4-5D6E-409C-BE32-E72D297353CC}">
              <c16:uniqueId val="{00000000-F9E8-BE44-BAC7-EADC051E3520}"/>
            </c:ext>
          </c:extLst>
        </c:ser>
        <c:ser>
          <c:idx val="1"/>
          <c:order val="1"/>
          <c:tx>
            <c:strRef>
              <c:f>Sheet4!$F$85:$F$86</c:f>
              <c:strCache>
                <c:ptCount val="1"/>
                <c:pt idx="0">
                  <c:v>Male</c:v>
                </c:pt>
              </c:strCache>
            </c:strRef>
          </c:tx>
          <c:spPr>
            <a:solidFill>
              <a:schemeClr val="accent2"/>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Sheet4!$D$87:$D$90</c:f>
              <c:strCache>
                <c:ptCount val="3"/>
                <c:pt idx="0">
                  <c:v>Cincinnati</c:v>
                </c:pt>
                <c:pt idx="1">
                  <c:v>Cleveland</c:v>
                </c:pt>
                <c:pt idx="2">
                  <c:v>Columbus</c:v>
                </c:pt>
              </c:strCache>
            </c:strRef>
          </c:cat>
          <c:val>
            <c:numRef>
              <c:f>Sheet4!$F$87:$F$90</c:f>
              <c:numCache>
                <c:formatCode>General</c:formatCode>
                <c:ptCount val="3"/>
                <c:pt idx="0">
                  <c:v>132</c:v>
                </c:pt>
                <c:pt idx="1">
                  <c:v>63</c:v>
                </c:pt>
                <c:pt idx="2">
                  <c:v>206</c:v>
                </c:pt>
              </c:numCache>
            </c:numRef>
          </c:val>
          <c:extLst>
            <c:ext xmlns:c16="http://schemas.microsoft.com/office/drawing/2014/chart" uri="{C3380CC4-5D6E-409C-BE32-E72D297353CC}">
              <c16:uniqueId val="{00000001-F9E8-BE44-BAC7-EADC051E3520}"/>
            </c:ext>
          </c:extLst>
        </c:ser>
        <c:dLbls>
          <c:showLegendKey val="0"/>
          <c:showVal val="0"/>
          <c:showCatName val="0"/>
          <c:showSerName val="0"/>
          <c:showPercent val="0"/>
          <c:showBubbleSize val="0"/>
        </c:dLbls>
        <c:gapWidth val="25"/>
        <c:overlap val="100"/>
        <c:axId val="89669552"/>
        <c:axId val="89671264"/>
      </c:barChart>
      <c:catAx>
        <c:axId val="8966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71264"/>
        <c:crosses val="autoZero"/>
        <c:auto val="1"/>
        <c:lblAlgn val="ctr"/>
        <c:lblOffset val="100"/>
        <c:noMultiLvlLbl val="0"/>
      </c:catAx>
      <c:valAx>
        <c:axId val="89671264"/>
        <c:scaling>
          <c:orientation val="minMax"/>
        </c:scaling>
        <c:delete val="1"/>
        <c:axPos val="l"/>
        <c:numFmt formatCode="0%" sourceLinked="1"/>
        <c:majorTickMark val="none"/>
        <c:minorTickMark val="none"/>
        <c:tickLblPos val="nextTo"/>
        <c:crossAx val="8966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[dash.xlsx]Sheet4!rep satisfaction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Rating</a:t>
            </a:r>
          </a:p>
        </c:rich>
      </c:tx>
      <c:layout>
        <c:manualLayout>
          <c:xMode val="edge"/>
          <c:yMode val="edge"/>
          <c:x val="0.3758491698314865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Sheet4!$E$97</c:f>
              <c:strCache>
                <c:ptCount val="1"/>
                <c:pt idx="0">
                  <c:v>Total</c:v>
                </c:pt>
              </c:strCache>
            </c:strRef>
          </c:tx>
          <c:spPr>
            <a:solidFill>
              <a:srgbClr val="0070C0"/>
            </a:solidFill>
            <a:ln>
              <a:noFill/>
            </a:ln>
            <a:effectLst/>
          </c:spPr>
          <c:invertIfNegative val="0"/>
          <c:cat>
            <c:strRef>
              <c:f>Sheet4!$D$98:$D$103</c:f>
              <c:strCache>
                <c:ptCount val="5"/>
                <c:pt idx="0">
                  <c:v>1</c:v>
                </c:pt>
                <c:pt idx="1">
                  <c:v>2</c:v>
                </c:pt>
                <c:pt idx="2">
                  <c:v>3</c:v>
                </c:pt>
                <c:pt idx="3">
                  <c:v>4</c:v>
                </c:pt>
                <c:pt idx="4">
                  <c:v>5</c:v>
                </c:pt>
              </c:strCache>
            </c:strRef>
          </c:cat>
          <c:val>
            <c:numRef>
              <c:f>Sheet4!$E$98:$E$103</c:f>
              <c:numCache>
                <c:formatCode>General</c:formatCode>
                <c:ptCount val="5"/>
                <c:pt idx="0">
                  <c:v>1</c:v>
                </c:pt>
                <c:pt idx="1">
                  <c:v>9</c:v>
                </c:pt>
                <c:pt idx="2">
                  <c:v>31</c:v>
                </c:pt>
                <c:pt idx="3">
                  <c:v>88</c:v>
                </c:pt>
                <c:pt idx="4">
                  <c:v>60</c:v>
                </c:pt>
              </c:numCache>
            </c:numRef>
          </c:val>
          <c:extLst>
            <c:ext xmlns:c16="http://schemas.microsoft.com/office/drawing/2014/chart" uri="{C3380CC4-5D6E-409C-BE32-E72D297353CC}">
              <c16:uniqueId val="{00000000-66ED-E64B-ABBC-A80DB5C0D0FD}"/>
            </c:ext>
          </c:extLst>
        </c:ser>
        <c:dLbls>
          <c:showLegendKey val="0"/>
          <c:showVal val="0"/>
          <c:showCatName val="0"/>
          <c:showSerName val="0"/>
          <c:showPercent val="0"/>
          <c:showBubbleSize val="0"/>
        </c:dLbls>
        <c:gapWidth val="10"/>
        <c:overlap val="-27"/>
        <c:axId val="126994480"/>
        <c:axId val="126996192"/>
      </c:barChart>
      <c:catAx>
        <c:axId val="12699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96192"/>
        <c:crosses val="autoZero"/>
        <c:auto val="1"/>
        <c:lblAlgn val="ctr"/>
        <c:lblOffset val="100"/>
        <c:noMultiLvlLbl val="0"/>
      </c:catAx>
      <c:valAx>
        <c:axId val="12699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9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chart" Target="../charts/chart4.xml"/><Relationship Id="rId3" Type="http://schemas.openxmlformats.org/officeDocument/2006/relationships/image" Target="../media/image8.svg"/><Relationship Id="rId7" Type="http://schemas.openxmlformats.org/officeDocument/2006/relationships/image" Target="../media/image12.svg"/><Relationship Id="rId12" Type="http://schemas.openxmlformats.org/officeDocument/2006/relationships/chart" Target="../charts/chart3.xml"/><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chart" Target="../charts/chart2.xml"/><Relationship Id="rId5" Type="http://schemas.openxmlformats.org/officeDocument/2006/relationships/image" Target="../media/image10.svg"/><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image" Target="../media/image9.png"/><Relationship Id="rId9" Type="http://schemas.openxmlformats.org/officeDocument/2006/relationships/image" Target="../media/image14.svg"/><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22.svg"/><Relationship Id="rId3" Type="http://schemas.openxmlformats.org/officeDocument/2006/relationships/image" Target="../media/image17.png"/><Relationship Id="rId7" Type="http://schemas.openxmlformats.org/officeDocument/2006/relationships/image" Target="../media/image21.png"/><Relationship Id="rId12" Type="http://schemas.openxmlformats.org/officeDocument/2006/relationships/image" Target="../media/image26.svg"/><Relationship Id="rId2" Type="http://schemas.openxmlformats.org/officeDocument/2006/relationships/image" Target="../media/image16.svg"/><Relationship Id="rId1" Type="http://schemas.openxmlformats.org/officeDocument/2006/relationships/image" Target="../media/image15.png"/><Relationship Id="rId6" Type="http://schemas.openxmlformats.org/officeDocument/2006/relationships/image" Target="../media/image20.svg"/><Relationship Id="rId11" Type="http://schemas.openxmlformats.org/officeDocument/2006/relationships/image" Target="../media/image25.png"/><Relationship Id="rId5" Type="http://schemas.openxmlformats.org/officeDocument/2006/relationships/image" Target="../media/image19.png"/><Relationship Id="rId10" Type="http://schemas.openxmlformats.org/officeDocument/2006/relationships/image" Target="../media/image24.svg"/><Relationship Id="rId4" Type="http://schemas.openxmlformats.org/officeDocument/2006/relationships/image" Target="../media/image18.svg"/><Relationship Id="rId9"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2</xdr:col>
      <xdr:colOff>88900</xdr:colOff>
      <xdr:row>3</xdr:row>
      <xdr:rowOff>12700</xdr:rowOff>
    </xdr:from>
    <xdr:to>
      <xdr:col>3</xdr:col>
      <xdr:colOff>558800</xdr:colOff>
      <xdr:row>9</xdr:row>
      <xdr:rowOff>76200</xdr:rowOff>
    </xdr:to>
    <xdr:sp macro="" textlink="Sheet4!A4">
      <xdr:nvSpPr>
        <xdr:cNvPr id="2" name="Rectangle 1">
          <a:extLst>
            <a:ext uri="{FF2B5EF4-FFF2-40B4-BE49-F238E27FC236}">
              <a16:creationId xmlns:a16="http://schemas.microsoft.com/office/drawing/2014/main" id="{6E9FE65D-2710-4B31-F4D3-E4821B86366D}"/>
            </a:ext>
          </a:extLst>
        </xdr:cNvPr>
        <xdr:cNvSpPr/>
      </xdr:nvSpPr>
      <xdr:spPr>
        <a:xfrm>
          <a:off x="482600" y="584200"/>
          <a:ext cx="1295400" cy="1206500"/>
        </a:xfrm>
        <a:prstGeom prst="rect">
          <a:avLst/>
        </a:prstGeom>
        <a:solidFill>
          <a:schemeClr val="accent2"/>
        </a:solidFill>
        <a:effectLst>
          <a:outerShdw blurRad="5334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E312BC-63E0-E64B-8600-276D5071DA32}" type="TxLink">
            <a:rPr lang="en-US" sz="1600" b="0" i="0" u="none" strike="noStrike">
              <a:solidFill>
                <a:schemeClr val="bg1"/>
              </a:solidFill>
              <a:latin typeface="+mj-lt"/>
            </a:rPr>
            <a:pPr algn="ctr"/>
            <a:t>1000</a:t>
          </a:fld>
          <a:endParaRPr lang="en-GB" sz="1600">
            <a:solidFill>
              <a:schemeClr val="bg1"/>
            </a:solidFill>
            <a:latin typeface="+mj-lt"/>
          </a:endParaRPr>
        </a:p>
      </xdr:txBody>
    </xdr:sp>
    <xdr:clientData/>
  </xdr:twoCellAnchor>
  <xdr:oneCellAnchor>
    <xdr:from>
      <xdr:col>2</xdr:col>
      <xdr:colOff>317500</xdr:colOff>
      <xdr:row>3</xdr:row>
      <xdr:rowOff>152400</xdr:rowOff>
    </xdr:from>
    <xdr:ext cx="901700" cy="241300"/>
    <xdr:sp macro="" textlink="">
      <xdr:nvSpPr>
        <xdr:cNvPr id="3" name="TextBox 2">
          <a:extLst>
            <a:ext uri="{FF2B5EF4-FFF2-40B4-BE49-F238E27FC236}">
              <a16:creationId xmlns:a16="http://schemas.microsoft.com/office/drawing/2014/main" id="{107FB8E9-5DA3-1752-2B0D-009DBB0E23F0}"/>
            </a:ext>
          </a:extLst>
        </xdr:cNvPr>
        <xdr:cNvSpPr txBox="1"/>
      </xdr:nvSpPr>
      <xdr:spPr>
        <a:xfrm>
          <a:off x="711200" y="723900"/>
          <a:ext cx="901700" cy="241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a:solidFill>
                <a:schemeClr val="bg1">
                  <a:lumMod val="95000"/>
                </a:schemeClr>
              </a:solidFill>
              <a:latin typeface="+mj-lt"/>
            </a:rPr>
            <a:t>calls</a:t>
          </a:r>
        </a:p>
        <a:p>
          <a:pPr algn="ctr"/>
          <a:endParaRPr lang="en-GB" sz="1100">
            <a:solidFill>
              <a:schemeClr val="bg1">
                <a:lumMod val="95000"/>
              </a:schemeClr>
            </a:solidFill>
          </a:endParaRPr>
        </a:p>
        <a:p>
          <a:endParaRPr lang="en-GB" sz="1100">
            <a:solidFill>
              <a:schemeClr val="bg1">
                <a:lumMod val="95000"/>
              </a:schemeClr>
            </a:solidFill>
          </a:endParaRPr>
        </a:p>
      </xdr:txBody>
    </xdr:sp>
    <xdr:clientData/>
  </xdr:oneCellAnchor>
  <xdr:twoCellAnchor editAs="oneCell">
    <xdr:from>
      <xdr:col>2</xdr:col>
      <xdr:colOff>266700</xdr:colOff>
      <xdr:row>3</xdr:row>
      <xdr:rowOff>165100</xdr:rowOff>
    </xdr:from>
    <xdr:to>
      <xdr:col>2</xdr:col>
      <xdr:colOff>495300</xdr:colOff>
      <xdr:row>5</xdr:row>
      <xdr:rowOff>12700</xdr:rowOff>
    </xdr:to>
    <xdr:pic>
      <xdr:nvPicPr>
        <xdr:cNvPr id="5" name="Picture 4" descr="Receiver with solid fill">
          <a:extLst>
            <a:ext uri="{FF2B5EF4-FFF2-40B4-BE49-F238E27FC236}">
              <a16:creationId xmlns:a16="http://schemas.microsoft.com/office/drawing/2014/main" id="{77871129-E449-BBD9-8619-407D9ABF0256}"/>
            </a:ext>
          </a:extLst>
        </xdr:cNvPr>
        <xdr:cNvPicPr>
          <a:picLocks noChangeAspect="1"/>
        </xdr:cNvPicPr>
      </xdr:nvPicPr>
      <xdr:blipFill>
        <a:blip xmlns:r="http://schemas.openxmlformats.org/officeDocument/2006/relationships" r:embed="rId1"/>
        <a:stretch>
          <a:fillRect/>
        </a:stretch>
      </xdr:blipFill>
      <xdr:spPr>
        <a:xfrm>
          <a:off x="660400" y="736600"/>
          <a:ext cx="228600" cy="228600"/>
        </a:xfrm>
        <a:prstGeom prst="rect">
          <a:avLst/>
        </a:prstGeom>
      </xdr:spPr>
    </xdr:pic>
    <xdr:clientData/>
  </xdr:twoCellAnchor>
  <xdr:oneCellAnchor>
    <xdr:from>
      <xdr:col>2</xdr:col>
      <xdr:colOff>342900</xdr:colOff>
      <xdr:row>7</xdr:row>
      <xdr:rowOff>12700</xdr:rowOff>
    </xdr:from>
    <xdr:ext cx="838200" cy="264560"/>
    <xdr:sp macro="" textlink="Sheet4!A11">
      <xdr:nvSpPr>
        <xdr:cNvPr id="6" name="TextBox 5">
          <a:extLst>
            <a:ext uri="{FF2B5EF4-FFF2-40B4-BE49-F238E27FC236}">
              <a16:creationId xmlns:a16="http://schemas.microsoft.com/office/drawing/2014/main" id="{83D55EAC-CF2F-6DDF-8122-EE51E33BBFA6}"/>
            </a:ext>
          </a:extLst>
        </xdr:cNvPr>
        <xdr:cNvSpPr txBox="1"/>
      </xdr:nvSpPr>
      <xdr:spPr>
        <a:xfrm>
          <a:off x="736600" y="1346200"/>
          <a:ext cx="838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8D1554A7-B8A7-9640-9640-279530DCAD4A}" type="TxLink">
            <a:rPr lang="en-US" sz="1100" b="0" i="0" u="none" strike="noStrike">
              <a:solidFill>
                <a:srgbClr val="000000"/>
              </a:solidFill>
              <a:latin typeface="Aptos"/>
            </a:rPr>
            <a:pPr algn="ctr"/>
            <a:t>189</a:t>
          </a:fld>
          <a:endParaRPr lang="en-GB" sz="1100" b="0" i="0" u="none" strike="noStrike">
            <a:solidFill>
              <a:schemeClr val="bg1">
                <a:lumMod val="95000"/>
              </a:schemeClr>
            </a:solidFill>
            <a:latin typeface="+mn-lt"/>
          </a:endParaRPr>
        </a:p>
      </xdr:txBody>
    </xdr:sp>
    <xdr:clientData/>
  </xdr:oneCellAnchor>
  <xdr:twoCellAnchor>
    <xdr:from>
      <xdr:col>2</xdr:col>
      <xdr:colOff>76200</xdr:colOff>
      <xdr:row>12</xdr:row>
      <xdr:rowOff>12700</xdr:rowOff>
    </xdr:from>
    <xdr:to>
      <xdr:col>3</xdr:col>
      <xdr:colOff>546100</xdr:colOff>
      <xdr:row>18</xdr:row>
      <xdr:rowOff>76200</xdr:rowOff>
    </xdr:to>
    <xdr:sp macro="" textlink="Sheet4!B4">
      <xdr:nvSpPr>
        <xdr:cNvPr id="7" name="Rectangle 6">
          <a:extLst>
            <a:ext uri="{FF2B5EF4-FFF2-40B4-BE49-F238E27FC236}">
              <a16:creationId xmlns:a16="http://schemas.microsoft.com/office/drawing/2014/main" id="{85B4CE6A-244D-A740-BDAF-09043BB24B1C}"/>
            </a:ext>
          </a:extLst>
        </xdr:cNvPr>
        <xdr:cNvSpPr/>
      </xdr:nvSpPr>
      <xdr:spPr>
        <a:xfrm>
          <a:off x="469900" y="2298700"/>
          <a:ext cx="1295400" cy="1206500"/>
        </a:xfrm>
        <a:prstGeom prst="rect">
          <a:avLst/>
        </a:prstGeom>
        <a:solidFill>
          <a:schemeClr val="accent2"/>
        </a:solidFill>
        <a:effectLst>
          <a:outerShdw blurRad="5334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18AB389-E17E-244B-9EEF-E8466F3BC0C4}" type="TxLink">
            <a:rPr lang="en-US" sz="1600" b="0" i="0" u="none" strike="noStrike">
              <a:solidFill>
                <a:schemeClr val="bg1"/>
              </a:solidFill>
              <a:latin typeface="+mj-lt"/>
              <a:ea typeface="+mn-ea"/>
              <a:cs typeface="+mn-cs"/>
            </a:rPr>
            <a:pPr marL="0" indent="0" algn="ctr"/>
            <a:t>$96,623</a:t>
          </a:fld>
          <a:endParaRPr lang="en-GB" sz="1600" b="0" i="0" u="none" strike="noStrike">
            <a:solidFill>
              <a:schemeClr val="bg1"/>
            </a:solidFill>
            <a:latin typeface="+mj-lt"/>
            <a:ea typeface="+mn-ea"/>
            <a:cs typeface="+mn-cs"/>
          </a:endParaRPr>
        </a:p>
      </xdr:txBody>
    </xdr:sp>
    <xdr:clientData/>
  </xdr:twoCellAnchor>
  <xdr:oneCellAnchor>
    <xdr:from>
      <xdr:col>2</xdr:col>
      <xdr:colOff>304800</xdr:colOff>
      <xdr:row>12</xdr:row>
      <xdr:rowOff>127000</xdr:rowOff>
    </xdr:from>
    <xdr:ext cx="901700" cy="241300"/>
    <xdr:sp macro="" textlink="">
      <xdr:nvSpPr>
        <xdr:cNvPr id="8" name="TextBox 7">
          <a:extLst>
            <a:ext uri="{FF2B5EF4-FFF2-40B4-BE49-F238E27FC236}">
              <a16:creationId xmlns:a16="http://schemas.microsoft.com/office/drawing/2014/main" id="{E199AD76-B412-5D42-8B0B-DB1901CA2EE3}"/>
            </a:ext>
          </a:extLst>
        </xdr:cNvPr>
        <xdr:cNvSpPr txBox="1"/>
      </xdr:nvSpPr>
      <xdr:spPr>
        <a:xfrm>
          <a:off x="698500" y="2413000"/>
          <a:ext cx="901700" cy="241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a:solidFill>
                <a:schemeClr val="bg1">
                  <a:lumMod val="95000"/>
                </a:schemeClr>
              </a:solidFill>
              <a:latin typeface="+mj-lt"/>
            </a:rPr>
            <a:t>Amount</a:t>
          </a:r>
        </a:p>
        <a:p>
          <a:pPr algn="ctr"/>
          <a:endParaRPr lang="en-GB" sz="1100">
            <a:solidFill>
              <a:schemeClr val="bg1">
                <a:lumMod val="95000"/>
              </a:schemeClr>
            </a:solidFill>
          </a:endParaRPr>
        </a:p>
        <a:p>
          <a:endParaRPr lang="en-GB" sz="1100">
            <a:solidFill>
              <a:schemeClr val="bg1">
                <a:lumMod val="95000"/>
              </a:schemeClr>
            </a:solidFill>
          </a:endParaRPr>
        </a:p>
      </xdr:txBody>
    </xdr:sp>
    <xdr:clientData/>
  </xdr:oneCellAnchor>
  <xdr:oneCellAnchor>
    <xdr:from>
      <xdr:col>2</xdr:col>
      <xdr:colOff>330200</xdr:colOff>
      <xdr:row>16</xdr:row>
      <xdr:rowOff>76200</xdr:rowOff>
    </xdr:from>
    <xdr:ext cx="838200" cy="264560"/>
    <xdr:sp macro="" textlink="Sheet4!B11">
      <xdr:nvSpPr>
        <xdr:cNvPr id="10" name="TextBox 9">
          <a:extLst>
            <a:ext uri="{FF2B5EF4-FFF2-40B4-BE49-F238E27FC236}">
              <a16:creationId xmlns:a16="http://schemas.microsoft.com/office/drawing/2014/main" id="{DB50A522-8EAC-2B45-8E32-4B01431E07D3}"/>
            </a:ext>
          </a:extLst>
        </xdr:cNvPr>
        <xdr:cNvSpPr txBox="1"/>
      </xdr:nvSpPr>
      <xdr:spPr>
        <a:xfrm>
          <a:off x="723900" y="3124200"/>
          <a:ext cx="838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CFFD9335-ED19-574D-A371-5610AA9A1437}" type="TxLink">
            <a:rPr lang="en-US" sz="1100" b="0" i="0" u="none" strike="noStrike">
              <a:solidFill>
                <a:srgbClr val="000000"/>
              </a:solidFill>
              <a:latin typeface="Aptos"/>
            </a:rPr>
            <a:pPr algn="ctr"/>
            <a:t>$18,415</a:t>
          </a:fld>
          <a:endParaRPr lang="en-GB" sz="1100" b="0" i="0" u="none" strike="noStrike">
            <a:solidFill>
              <a:schemeClr val="bg1">
                <a:lumMod val="95000"/>
              </a:schemeClr>
            </a:solidFill>
            <a:latin typeface="+mn-lt"/>
          </a:endParaRPr>
        </a:p>
      </xdr:txBody>
    </xdr:sp>
    <xdr:clientData/>
  </xdr:oneCellAnchor>
  <xdr:twoCellAnchor>
    <xdr:from>
      <xdr:col>2</xdr:col>
      <xdr:colOff>88900</xdr:colOff>
      <xdr:row>20</xdr:row>
      <xdr:rowOff>63500</xdr:rowOff>
    </xdr:from>
    <xdr:to>
      <xdr:col>3</xdr:col>
      <xdr:colOff>558800</xdr:colOff>
      <xdr:row>26</xdr:row>
      <xdr:rowOff>127000</xdr:rowOff>
    </xdr:to>
    <xdr:sp macro="" textlink="Sheet4!C4">
      <xdr:nvSpPr>
        <xdr:cNvPr id="11" name="Rectangle 10">
          <a:extLst>
            <a:ext uri="{FF2B5EF4-FFF2-40B4-BE49-F238E27FC236}">
              <a16:creationId xmlns:a16="http://schemas.microsoft.com/office/drawing/2014/main" id="{B665A151-89B8-9B4C-A624-6023FA15F856}"/>
            </a:ext>
          </a:extLst>
        </xdr:cNvPr>
        <xdr:cNvSpPr/>
      </xdr:nvSpPr>
      <xdr:spPr>
        <a:xfrm>
          <a:off x="482600" y="3873500"/>
          <a:ext cx="1295400" cy="1206500"/>
        </a:xfrm>
        <a:prstGeom prst="rect">
          <a:avLst/>
        </a:prstGeom>
        <a:solidFill>
          <a:schemeClr val="accent2"/>
        </a:solidFill>
        <a:effectLst>
          <a:outerShdw blurRad="5334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8A49AC9-5E85-BC4D-9480-DCC21687BCC8}" type="TxLink">
            <a:rPr lang="en-US" sz="1600" b="0" i="0" u="none" strike="noStrike">
              <a:solidFill>
                <a:schemeClr val="bg1"/>
              </a:solidFill>
              <a:latin typeface="+mj-lt"/>
              <a:ea typeface="+mn-ea"/>
              <a:cs typeface="+mn-cs"/>
            </a:rPr>
            <a:pPr marL="0" indent="0" algn="ctr"/>
            <a:t>89850</a:t>
          </a:fld>
          <a:endParaRPr lang="en-GB" sz="1600" b="0" i="0" u="none" strike="noStrike">
            <a:solidFill>
              <a:schemeClr val="bg1"/>
            </a:solidFill>
            <a:latin typeface="+mj-lt"/>
            <a:ea typeface="+mn-ea"/>
            <a:cs typeface="+mn-cs"/>
          </a:endParaRPr>
        </a:p>
      </xdr:txBody>
    </xdr:sp>
    <xdr:clientData/>
  </xdr:twoCellAnchor>
  <xdr:oneCellAnchor>
    <xdr:from>
      <xdr:col>2</xdr:col>
      <xdr:colOff>254000</xdr:colOff>
      <xdr:row>21</xdr:row>
      <xdr:rowOff>165100</xdr:rowOff>
    </xdr:from>
    <xdr:ext cx="901700" cy="241300"/>
    <xdr:sp macro="" textlink="">
      <xdr:nvSpPr>
        <xdr:cNvPr id="12" name="TextBox 11">
          <a:extLst>
            <a:ext uri="{FF2B5EF4-FFF2-40B4-BE49-F238E27FC236}">
              <a16:creationId xmlns:a16="http://schemas.microsoft.com/office/drawing/2014/main" id="{71816BBD-1A4A-3641-9FBA-7541200929C2}"/>
            </a:ext>
          </a:extLst>
        </xdr:cNvPr>
        <xdr:cNvSpPr txBox="1"/>
      </xdr:nvSpPr>
      <xdr:spPr>
        <a:xfrm>
          <a:off x="647700" y="4165600"/>
          <a:ext cx="901700" cy="241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a:solidFill>
                <a:schemeClr val="bg1">
                  <a:lumMod val="95000"/>
                </a:schemeClr>
              </a:solidFill>
            </a:rPr>
            <a:t>Duration</a:t>
          </a:r>
        </a:p>
        <a:p>
          <a:endParaRPr lang="en-GB" sz="1100">
            <a:solidFill>
              <a:schemeClr val="bg1">
                <a:lumMod val="95000"/>
              </a:schemeClr>
            </a:solidFill>
          </a:endParaRPr>
        </a:p>
      </xdr:txBody>
    </xdr:sp>
    <xdr:clientData/>
  </xdr:oneCellAnchor>
  <xdr:twoCellAnchor editAs="oneCell">
    <xdr:from>
      <xdr:col>2</xdr:col>
      <xdr:colOff>228600</xdr:colOff>
      <xdr:row>21</xdr:row>
      <xdr:rowOff>177800</xdr:rowOff>
    </xdr:from>
    <xdr:to>
      <xdr:col>2</xdr:col>
      <xdr:colOff>457200</xdr:colOff>
      <xdr:row>23</xdr:row>
      <xdr:rowOff>25400</xdr:rowOff>
    </xdr:to>
    <xdr:pic>
      <xdr:nvPicPr>
        <xdr:cNvPr id="13" name="Picture 12">
          <a:extLst>
            <a:ext uri="{FF2B5EF4-FFF2-40B4-BE49-F238E27FC236}">
              <a16:creationId xmlns:a16="http://schemas.microsoft.com/office/drawing/2014/main" id="{DD5B15A6-EBF3-5044-B7AD-38C505024A2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a:xfrm>
          <a:off x="622300" y="4178300"/>
          <a:ext cx="228600" cy="228600"/>
        </a:xfrm>
        <a:prstGeom prst="rect">
          <a:avLst/>
        </a:prstGeom>
      </xdr:spPr>
    </xdr:pic>
    <xdr:clientData/>
  </xdr:twoCellAnchor>
  <xdr:oneCellAnchor>
    <xdr:from>
      <xdr:col>2</xdr:col>
      <xdr:colOff>292100</xdr:colOff>
      <xdr:row>25</xdr:row>
      <xdr:rowOff>88900</xdr:rowOff>
    </xdr:from>
    <xdr:ext cx="838200" cy="264560"/>
    <xdr:sp macro="" textlink="Sheet4!C11">
      <xdr:nvSpPr>
        <xdr:cNvPr id="14" name="TextBox 13">
          <a:extLst>
            <a:ext uri="{FF2B5EF4-FFF2-40B4-BE49-F238E27FC236}">
              <a16:creationId xmlns:a16="http://schemas.microsoft.com/office/drawing/2014/main" id="{A1587E3F-C543-924D-9868-A40767A2F944}"/>
            </a:ext>
          </a:extLst>
        </xdr:cNvPr>
        <xdr:cNvSpPr txBox="1"/>
      </xdr:nvSpPr>
      <xdr:spPr>
        <a:xfrm>
          <a:off x="685800" y="4851400"/>
          <a:ext cx="838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4EE3ECB-848E-0A44-BE0D-74893F29BF87}" type="TxLink">
            <a:rPr lang="en-US" sz="1100" b="0" i="0" u="none" strike="noStrike">
              <a:solidFill>
                <a:srgbClr val="000000"/>
              </a:solidFill>
              <a:latin typeface="Aptos"/>
            </a:rPr>
            <a:pPr algn="ctr"/>
            <a:t>16834</a:t>
          </a:fld>
          <a:endParaRPr lang="en-GB" sz="1100" b="0" i="0" u="none" strike="noStrike">
            <a:solidFill>
              <a:schemeClr val="bg1">
                <a:lumMod val="95000"/>
              </a:schemeClr>
            </a:solidFill>
            <a:latin typeface="+mn-lt"/>
          </a:endParaRPr>
        </a:p>
      </xdr:txBody>
    </xdr:sp>
    <xdr:clientData/>
  </xdr:oneCellAnchor>
  <xdr:twoCellAnchor>
    <xdr:from>
      <xdr:col>2</xdr:col>
      <xdr:colOff>76200</xdr:colOff>
      <xdr:row>29</xdr:row>
      <xdr:rowOff>0</xdr:rowOff>
    </xdr:from>
    <xdr:to>
      <xdr:col>3</xdr:col>
      <xdr:colOff>546100</xdr:colOff>
      <xdr:row>35</xdr:row>
      <xdr:rowOff>63500</xdr:rowOff>
    </xdr:to>
    <xdr:sp macro="" textlink="Sheet4!D4">
      <xdr:nvSpPr>
        <xdr:cNvPr id="15" name="Rectangle 14">
          <a:extLst>
            <a:ext uri="{FF2B5EF4-FFF2-40B4-BE49-F238E27FC236}">
              <a16:creationId xmlns:a16="http://schemas.microsoft.com/office/drawing/2014/main" id="{EBAA35EB-EA28-C743-B539-BB3B56F5AE82}"/>
            </a:ext>
          </a:extLst>
        </xdr:cNvPr>
        <xdr:cNvSpPr/>
      </xdr:nvSpPr>
      <xdr:spPr>
        <a:xfrm>
          <a:off x="469900" y="5524500"/>
          <a:ext cx="1295400" cy="1206500"/>
        </a:xfrm>
        <a:prstGeom prst="rect">
          <a:avLst/>
        </a:prstGeom>
        <a:solidFill>
          <a:schemeClr val="accent2"/>
        </a:solidFill>
        <a:effectLst>
          <a:outerShdw blurRad="5334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B3257D0-4F95-EC4F-8D0B-D184ED34EACC}" type="TxLink">
            <a:rPr lang="en-US" sz="1600" b="0" i="0" u="none" strike="noStrike">
              <a:solidFill>
                <a:schemeClr val="bg1"/>
              </a:solidFill>
              <a:latin typeface="+mj-lt"/>
              <a:ea typeface="+mn-ea"/>
              <a:cs typeface="+mn-cs"/>
            </a:rPr>
            <a:pPr marL="0" indent="0" algn="ctr"/>
            <a:t>4</a:t>
          </a:fld>
          <a:endParaRPr lang="en-GB" sz="1600" b="0" i="0" u="none" strike="noStrike">
            <a:solidFill>
              <a:schemeClr val="bg1"/>
            </a:solidFill>
            <a:latin typeface="+mj-lt"/>
            <a:ea typeface="+mn-ea"/>
            <a:cs typeface="+mn-cs"/>
          </a:endParaRPr>
        </a:p>
      </xdr:txBody>
    </xdr:sp>
    <xdr:clientData/>
  </xdr:twoCellAnchor>
  <xdr:oneCellAnchor>
    <xdr:from>
      <xdr:col>2</xdr:col>
      <xdr:colOff>266700</xdr:colOff>
      <xdr:row>29</xdr:row>
      <xdr:rowOff>152400</xdr:rowOff>
    </xdr:from>
    <xdr:ext cx="965200" cy="292100"/>
    <xdr:sp macro="" textlink="">
      <xdr:nvSpPr>
        <xdr:cNvPr id="16" name="TextBox 15">
          <a:extLst>
            <a:ext uri="{FF2B5EF4-FFF2-40B4-BE49-F238E27FC236}">
              <a16:creationId xmlns:a16="http://schemas.microsoft.com/office/drawing/2014/main" id="{E8FE3570-0D3D-654D-AB8D-F7E91E6C570F}"/>
            </a:ext>
          </a:extLst>
        </xdr:cNvPr>
        <xdr:cNvSpPr txBox="1"/>
      </xdr:nvSpPr>
      <xdr:spPr>
        <a:xfrm>
          <a:off x="660400" y="5676900"/>
          <a:ext cx="965200" cy="292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a:solidFill>
                <a:schemeClr val="bg1">
                  <a:lumMod val="95000"/>
                </a:schemeClr>
              </a:solidFill>
              <a:latin typeface="+mj-lt"/>
            </a:rPr>
            <a:t>Avg. rating</a:t>
          </a:r>
        </a:p>
        <a:p>
          <a:pPr algn="ctr"/>
          <a:endParaRPr lang="en-GB" sz="1100">
            <a:solidFill>
              <a:schemeClr val="bg1">
                <a:lumMod val="95000"/>
              </a:schemeClr>
            </a:solidFill>
          </a:endParaRPr>
        </a:p>
        <a:p>
          <a:endParaRPr lang="en-GB" sz="1100">
            <a:solidFill>
              <a:schemeClr val="bg1">
                <a:lumMod val="95000"/>
              </a:schemeClr>
            </a:solidFill>
          </a:endParaRPr>
        </a:p>
      </xdr:txBody>
    </xdr:sp>
    <xdr:clientData/>
  </xdr:oneCellAnchor>
  <xdr:twoCellAnchor editAs="oneCell">
    <xdr:from>
      <xdr:col>2</xdr:col>
      <xdr:colOff>101600</xdr:colOff>
      <xdr:row>29</xdr:row>
      <xdr:rowOff>177800</xdr:rowOff>
    </xdr:from>
    <xdr:to>
      <xdr:col>2</xdr:col>
      <xdr:colOff>330200</xdr:colOff>
      <xdr:row>31</xdr:row>
      <xdr:rowOff>25400</xdr:rowOff>
    </xdr:to>
    <xdr:pic>
      <xdr:nvPicPr>
        <xdr:cNvPr id="17" name="Picture 16">
          <a:extLst>
            <a:ext uri="{FF2B5EF4-FFF2-40B4-BE49-F238E27FC236}">
              <a16:creationId xmlns:a16="http://schemas.microsoft.com/office/drawing/2014/main" id="{522460CB-5235-3A40-9268-55C61C00CA7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495300" y="5702300"/>
          <a:ext cx="228600" cy="228600"/>
        </a:xfrm>
        <a:prstGeom prst="rect">
          <a:avLst/>
        </a:prstGeom>
      </xdr:spPr>
    </xdr:pic>
    <xdr:clientData/>
  </xdr:twoCellAnchor>
  <xdr:oneCellAnchor>
    <xdr:from>
      <xdr:col>2</xdr:col>
      <xdr:colOff>279400</xdr:colOff>
      <xdr:row>33</xdr:row>
      <xdr:rowOff>139700</xdr:rowOff>
    </xdr:from>
    <xdr:ext cx="838200" cy="264560"/>
    <xdr:sp macro="" textlink="Sheet4!D11">
      <xdr:nvSpPr>
        <xdr:cNvPr id="18" name="TextBox 17">
          <a:extLst>
            <a:ext uri="{FF2B5EF4-FFF2-40B4-BE49-F238E27FC236}">
              <a16:creationId xmlns:a16="http://schemas.microsoft.com/office/drawing/2014/main" id="{91073CAE-7F89-4B4F-B68D-625C2053D222}"/>
            </a:ext>
          </a:extLst>
        </xdr:cNvPr>
        <xdr:cNvSpPr txBox="1"/>
      </xdr:nvSpPr>
      <xdr:spPr>
        <a:xfrm>
          <a:off x="673100" y="6426200"/>
          <a:ext cx="838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37C4A1A-FC96-214E-8F16-14073AF6573D}" type="TxLink">
            <a:rPr lang="en-US" sz="1100" b="0" i="0" u="none" strike="noStrike">
              <a:solidFill>
                <a:srgbClr val="000000"/>
              </a:solidFill>
              <a:latin typeface="Aptos"/>
            </a:rPr>
            <a:pPr algn="ctr"/>
            <a:t>4</a:t>
          </a:fld>
          <a:endParaRPr lang="en-GB" sz="1100" b="0" i="0" u="none" strike="noStrike">
            <a:solidFill>
              <a:schemeClr val="bg1">
                <a:lumMod val="95000"/>
              </a:schemeClr>
            </a:solidFill>
            <a:latin typeface="+mn-lt"/>
          </a:endParaRPr>
        </a:p>
      </xdr:txBody>
    </xdr:sp>
    <xdr:clientData/>
  </xdr:oneCellAnchor>
  <xdr:twoCellAnchor>
    <xdr:from>
      <xdr:col>2</xdr:col>
      <xdr:colOff>50800</xdr:colOff>
      <xdr:row>37</xdr:row>
      <xdr:rowOff>12700</xdr:rowOff>
    </xdr:from>
    <xdr:to>
      <xdr:col>3</xdr:col>
      <xdr:colOff>520700</xdr:colOff>
      <xdr:row>43</xdr:row>
      <xdr:rowOff>76200</xdr:rowOff>
    </xdr:to>
    <xdr:sp macro="" textlink="Sheet4!E4">
      <xdr:nvSpPr>
        <xdr:cNvPr id="19" name="Rectangle 18">
          <a:extLst>
            <a:ext uri="{FF2B5EF4-FFF2-40B4-BE49-F238E27FC236}">
              <a16:creationId xmlns:a16="http://schemas.microsoft.com/office/drawing/2014/main" id="{40FF7D5D-0810-F442-B23F-E9B5C5481AA0}"/>
            </a:ext>
          </a:extLst>
        </xdr:cNvPr>
        <xdr:cNvSpPr/>
      </xdr:nvSpPr>
      <xdr:spPr>
        <a:xfrm>
          <a:off x="444500" y="7061200"/>
          <a:ext cx="1295400" cy="1206500"/>
        </a:xfrm>
        <a:prstGeom prst="rect">
          <a:avLst/>
        </a:prstGeom>
        <a:solidFill>
          <a:schemeClr val="accent2"/>
        </a:solidFill>
        <a:effectLst>
          <a:outerShdw blurRad="5334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917E536-B2F9-8C41-A051-713D78568AF2}" type="TxLink">
            <a:rPr lang="en-US" sz="1600" b="0" i="0" u="none" strike="noStrike">
              <a:solidFill>
                <a:schemeClr val="bg1"/>
              </a:solidFill>
              <a:latin typeface="+mj-lt"/>
              <a:ea typeface="+mn-ea"/>
              <a:cs typeface="+mn-cs"/>
            </a:rPr>
            <a:pPr marL="0" indent="0" algn="ctr"/>
            <a:t>307</a:t>
          </a:fld>
          <a:endParaRPr lang="en-GB" sz="1600" b="0" i="0" u="none" strike="noStrike">
            <a:solidFill>
              <a:schemeClr val="bg1"/>
            </a:solidFill>
            <a:latin typeface="+mj-lt"/>
            <a:ea typeface="+mn-ea"/>
            <a:cs typeface="+mn-cs"/>
          </a:endParaRPr>
        </a:p>
      </xdr:txBody>
    </xdr:sp>
    <xdr:clientData/>
  </xdr:twoCellAnchor>
  <xdr:oneCellAnchor>
    <xdr:from>
      <xdr:col>2</xdr:col>
      <xdr:colOff>279400</xdr:colOff>
      <xdr:row>37</xdr:row>
      <xdr:rowOff>50800</xdr:rowOff>
    </xdr:from>
    <xdr:ext cx="901700" cy="241300"/>
    <xdr:sp macro="" textlink="">
      <xdr:nvSpPr>
        <xdr:cNvPr id="20" name="TextBox 19">
          <a:extLst>
            <a:ext uri="{FF2B5EF4-FFF2-40B4-BE49-F238E27FC236}">
              <a16:creationId xmlns:a16="http://schemas.microsoft.com/office/drawing/2014/main" id="{7A2C94ED-BABD-3341-8D5B-5B7A65A2C36B}"/>
            </a:ext>
          </a:extLst>
        </xdr:cNvPr>
        <xdr:cNvSpPr txBox="1"/>
      </xdr:nvSpPr>
      <xdr:spPr>
        <a:xfrm>
          <a:off x="673100" y="7099300"/>
          <a:ext cx="901700" cy="241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a:solidFill>
                <a:schemeClr val="bg1">
                  <a:lumMod val="95000"/>
                </a:schemeClr>
              </a:solidFill>
              <a:latin typeface="+mj-lt"/>
            </a:rPr>
            <a:t>happy</a:t>
          </a:r>
          <a:r>
            <a:rPr lang="en-GB" sz="1100" baseline="0">
              <a:solidFill>
                <a:schemeClr val="bg1">
                  <a:lumMod val="95000"/>
                </a:schemeClr>
              </a:solidFill>
              <a:latin typeface="+mj-lt"/>
            </a:rPr>
            <a:t> caller</a:t>
          </a:r>
          <a:endParaRPr lang="en-GB" sz="1100">
            <a:solidFill>
              <a:schemeClr val="bg1">
                <a:lumMod val="95000"/>
              </a:schemeClr>
            </a:solidFill>
            <a:latin typeface="+mj-lt"/>
          </a:endParaRPr>
        </a:p>
        <a:p>
          <a:pPr algn="ctr"/>
          <a:endParaRPr lang="en-GB" sz="1100">
            <a:solidFill>
              <a:schemeClr val="bg1">
                <a:lumMod val="95000"/>
              </a:schemeClr>
            </a:solidFill>
          </a:endParaRPr>
        </a:p>
        <a:p>
          <a:endParaRPr lang="en-GB" sz="1100">
            <a:solidFill>
              <a:schemeClr val="bg1">
                <a:lumMod val="95000"/>
              </a:schemeClr>
            </a:solidFill>
          </a:endParaRPr>
        </a:p>
      </xdr:txBody>
    </xdr:sp>
    <xdr:clientData/>
  </xdr:oneCellAnchor>
  <xdr:twoCellAnchor editAs="oneCell">
    <xdr:from>
      <xdr:col>2</xdr:col>
      <xdr:colOff>88900</xdr:colOff>
      <xdr:row>37</xdr:row>
      <xdr:rowOff>63500</xdr:rowOff>
    </xdr:from>
    <xdr:to>
      <xdr:col>2</xdr:col>
      <xdr:colOff>317500</xdr:colOff>
      <xdr:row>38</xdr:row>
      <xdr:rowOff>101600</xdr:rowOff>
    </xdr:to>
    <xdr:pic>
      <xdr:nvPicPr>
        <xdr:cNvPr id="21" name="Picture 20">
          <a:extLst>
            <a:ext uri="{FF2B5EF4-FFF2-40B4-BE49-F238E27FC236}">
              <a16:creationId xmlns:a16="http://schemas.microsoft.com/office/drawing/2014/main" id="{6FAD3321-04A9-D34A-BB31-A978CF1B8F5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482600" y="7112000"/>
          <a:ext cx="228600" cy="228600"/>
        </a:xfrm>
        <a:prstGeom prst="rect">
          <a:avLst/>
        </a:prstGeom>
      </xdr:spPr>
    </xdr:pic>
    <xdr:clientData/>
  </xdr:twoCellAnchor>
  <xdr:oneCellAnchor>
    <xdr:from>
      <xdr:col>2</xdr:col>
      <xdr:colOff>266700</xdr:colOff>
      <xdr:row>41</xdr:row>
      <xdr:rowOff>38100</xdr:rowOff>
    </xdr:from>
    <xdr:ext cx="838200" cy="264560"/>
    <xdr:sp macro="" textlink="Sheet4!E11">
      <xdr:nvSpPr>
        <xdr:cNvPr id="22" name="TextBox 21">
          <a:extLst>
            <a:ext uri="{FF2B5EF4-FFF2-40B4-BE49-F238E27FC236}">
              <a16:creationId xmlns:a16="http://schemas.microsoft.com/office/drawing/2014/main" id="{6D14E28A-211D-844B-ABC4-D8FEA981DDA5}"/>
            </a:ext>
          </a:extLst>
        </xdr:cNvPr>
        <xdr:cNvSpPr txBox="1"/>
      </xdr:nvSpPr>
      <xdr:spPr>
        <a:xfrm>
          <a:off x="660400" y="7848600"/>
          <a:ext cx="838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C17FECF7-6619-DD49-AD29-C74557485F62}" type="TxLink">
            <a:rPr lang="en-US" sz="1100" b="0" i="0" u="none" strike="noStrike">
              <a:solidFill>
                <a:srgbClr val="000000"/>
              </a:solidFill>
              <a:latin typeface="Aptos"/>
            </a:rPr>
            <a:pPr algn="ctr"/>
            <a:t>60</a:t>
          </a:fld>
          <a:endParaRPr lang="en-GB" sz="1100" b="0" i="0" u="none" strike="noStrike">
            <a:solidFill>
              <a:schemeClr val="bg1">
                <a:lumMod val="95000"/>
              </a:schemeClr>
            </a:solidFill>
            <a:latin typeface="+mn-lt"/>
          </a:endParaRPr>
        </a:p>
      </xdr:txBody>
    </xdr:sp>
    <xdr:clientData/>
  </xdr:oneCellAnchor>
  <xdr:twoCellAnchor editAs="oneCell">
    <xdr:from>
      <xdr:col>11</xdr:col>
      <xdr:colOff>457200</xdr:colOff>
      <xdr:row>22</xdr:row>
      <xdr:rowOff>152400</xdr:rowOff>
    </xdr:from>
    <xdr:to>
      <xdr:col>13</xdr:col>
      <xdr:colOff>635000</xdr:colOff>
      <xdr:row>35</xdr:row>
      <xdr:rowOff>104769</xdr:rowOff>
    </xdr:to>
    <mc:AlternateContent xmlns:mc="http://schemas.openxmlformats.org/markup-compatibility/2006" xmlns:a14="http://schemas.microsoft.com/office/drawing/2010/main">
      <mc:Choice Requires="a14">
        <xdr:graphicFrame macro="">
          <xdr:nvGraphicFramePr>
            <xdr:cNvPr id="24" name="Representative">
              <a:extLst>
                <a:ext uri="{FF2B5EF4-FFF2-40B4-BE49-F238E27FC236}">
                  <a16:creationId xmlns:a16="http://schemas.microsoft.com/office/drawing/2014/main" id="{D6C92765-48EC-EF43-B505-B84541D3C48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339959" y="4327343"/>
              <a:ext cx="1841938" cy="24193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190500</xdr:colOff>
      <xdr:row>12</xdr:row>
      <xdr:rowOff>88900</xdr:rowOff>
    </xdr:from>
    <xdr:to>
      <xdr:col>2</xdr:col>
      <xdr:colOff>419100</xdr:colOff>
      <xdr:row>13</xdr:row>
      <xdr:rowOff>127000</xdr:rowOff>
    </xdr:to>
    <xdr:pic>
      <xdr:nvPicPr>
        <xdr:cNvPr id="23" name="Picture 22">
          <a:extLst>
            <a:ext uri="{FF2B5EF4-FFF2-40B4-BE49-F238E27FC236}">
              <a16:creationId xmlns:a16="http://schemas.microsoft.com/office/drawing/2014/main" id="{F4891F2D-5469-F52E-8D3B-BDC3504C2AD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584200" y="2374900"/>
          <a:ext cx="228600" cy="228600"/>
        </a:xfrm>
        <a:prstGeom prst="rect">
          <a:avLst/>
        </a:prstGeom>
      </xdr:spPr>
    </xdr:pic>
    <xdr:clientData/>
  </xdr:twoCellAnchor>
  <xdr:twoCellAnchor>
    <xdr:from>
      <xdr:col>9</xdr:col>
      <xdr:colOff>787838</xdr:colOff>
      <xdr:row>3</xdr:row>
      <xdr:rowOff>0</xdr:rowOff>
    </xdr:from>
    <xdr:to>
      <xdr:col>14</xdr:col>
      <xdr:colOff>298669</xdr:colOff>
      <xdr:row>17</xdr:row>
      <xdr:rowOff>76200</xdr:rowOff>
    </xdr:to>
    <xdr:graphicFrame macro="">
      <xdr:nvGraphicFramePr>
        <xdr:cNvPr id="9" name="Chart 8">
          <a:extLst>
            <a:ext uri="{FF2B5EF4-FFF2-40B4-BE49-F238E27FC236}">
              <a16:creationId xmlns:a16="http://schemas.microsoft.com/office/drawing/2014/main" id="{AA3AFF3E-DC79-7349-966A-334ED7D0F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306552</xdr:colOff>
      <xdr:row>3</xdr:row>
      <xdr:rowOff>14598</xdr:rowOff>
    </xdr:from>
    <xdr:to>
      <xdr:col>9</xdr:col>
      <xdr:colOff>751052</xdr:colOff>
      <xdr:row>17</xdr:row>
      <xdr:rowOff>90798</xdr:rowOff>
    </xdr:to>
    <xdr:graphicFrame macro="">
      <xdr:nvGraphicFramePr>
        <xdr:cNvPr id="4" name="Chart 3">
          <a:extLst>
            <a:ext uri="{FF2B5EF4-FFF2-40B4-BE49-F238E27FC236}">
              <a16:creationId xmlns:a16="http://schemas.microsoft.com/office/drawing/2014/main" id="{7118CA61-EF3C-CF4A-88BC-312299963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114300</xdr:colOff>
      <xdr:row>22</xdr:row>
      <xdr:rowOff>165100</xdr:rowOff>
    </xdr:from>
    <xdr:to>
      <xdr:col>8</xdr:col>
      <xdr:colOff>355600</xdr:colOff>
      <xdr:row>37</xdr:row>
      <xdr:rowOff>50800</xdr:rowOff>
    </xdr:to>
    <xdr:graphicFrame macro="">
      <xdr:nvGraphicFramePr>
        <xdr:cNvPr id="25" name="Chart 24">
          <a:extLst>
            <a:ext uri="{FF2B5EF4-FFF2-40B4-BE49-F238E27FC236}">
              <a16:creationId xmlns:a16="http://schemas.microsoft.com/office/drawing/2014/main" id="{ECC35136-3178-C04E-B987-2BB65C6D8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355600</xdr:colOff>
      <xdr:row>22</xdr:row>
      <xdr:rowOff>165100</xdr:rowOff>
    </xdr:from>
    <xdr:to>
      <xdr:col>11</xdr:col>
      <xdr:colOff>533400</xdr:colOff>
      <xdr:row>37</xdr:row>
      <xdr:rowOff>50800</xdr:rowOff>
    </xdr:to>
    <xdr:graphicFrame macro="">
      <xdr:nvGraphicFramePr>
        <xdr:cNvPr id="26" name="Chart 25">
          <a:extLst>
            <a:ext uri="{FF2B5EF4-FFF2-40B4-BE49-F238E27FC236}">
              <a16:creationId xmlns:a16="http://schemas.microsoft.com/office/drawing/2014/main" id="{169F1741-87BB-7340-BB4C-1FBE8BE3F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317354</xdr:colOff>
      <xdr:row>2</xdr:row>
      <xdr:rowOff>87587</xdr:rowOff>
    </xdr:from>
    <xdr:to>
      <xdr:col>18</xdr:col>
      <xdr:colOff>802875</xdr:colOff>
      <xdr:row>17</xdr:row>
      <xdr:rowOff>136489</xdr:rowOff>
    </xdr:to>
    <xdr:graphicFrame macro="">
      <xdr:nvGraphicFramePr>
        <xdr:cNvPr id="27" name="Chart 26">
          <a:extLst>
            <a:ext uri="{FF2B5EF4-FFF2-40B4-BE49-F238E27FC236}">
              <a16:creationId xmlns:a16="http://schemas.microsoft.com/office/drawing/2014/main" id="{46664272-6448-BE48-9232-6C82F32A6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15</xdr:col>
      <xdr:colOff>452529</xdr:colOff>
      <xdr:row>2</xdr:row>
      <xdr:rowOff>175171</xdr:rowOff>
    </xdr:from>
    <xdr:ext cx="1912299" cy="264560"/>
    <xdr:sp macro="" textlink="">
      <xdr:nvSpPr>
        <xdr:cNvPr id="28" name="TextBox 27">
          <a:extLst>
            <a:ext uri="{FF2B5EF4-FFF2-40B4-BE49-F238E27FC236}">
              <a16:creationId xmlns:a16="http://schemas.microsoft.com/office/drawing/2014/main" id="{15413DA1-8D13-22F1-707D-385550660396}"/>
            </a:ext>
          </a:extLst>
        </xdr:cNvPr>
        <xdr:cNvSpPr txBox="1"/>
      </xdr:nvSpPr>
      <xdr:spPr>
        <a:xfrm>
          <a:off x="11663563" y="554711"/>
          <a:ext cx="191229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solidFill>
                <a:schemeClr val="accent5"/>
              </a:solidFill>
            </a:rPr>
            <a:t>MALE</a:t>
          </a:r>
          <a:r>
            <a:rPr lang="en-GB" sz="1100" b="1">
              <a:solidFill>
                <a:srgbClr val="F17000"/>
              </a:solidFill>
            </a:rPr>
            <a:t> </a:t>
          </a:r>
          <a:r>
            <a:rPr lang="en-GB" sz="1100" b="1">
              <a:solidFill>
                <a:schemeClr val="tx2"/>
              </a:solidFill>
            </a:rPr>
            <a:t>VS</a:t>
          </a:r>
          <a:r>
            <a:rPr lang="en-GB" sz="1100" b="1">
              <a:solidFill>
                <a:srgbClr val="F17000"/>
              </a:solidFill>
            </a:rPr>
            <a:t> FEMALE  </a:t>
          </a:r>
          <a:r>
            <a:rPr lang="en-GB" sz="1100" b="1">
              <a:solidFill>
                <a:schemeClr val="tx2"/>
              </a:solidFill>
            </a:rPr>
            <a:t>CALLERS</a:t>
          </a:r>
        </a:p>
      </xdr:txBody>
    </xdr:sp>
    <xdr:clientData/>
  </xdr:oneCellAnchor>
  <xdr:twoCellAnchor>
    <xdr:from>
      <xdr:col>19</xdr:col>
      <xdr:colOff>14598</xdr:colOff>
      <xdr:row>2</xdr:row>
      <xdr:rowOff>160575</xdr:rowOff>
    </xdr:from>
    <xdr:to>
      <xdr:col>22</xdr:col>
      <xdr:colOff>744483</xdr:colOff>
      <xdr:row>17</xdr:row>
      <xdr:rowOff>57223</xdr:rowOff>
    </xdr:to>
    <xdr:graphicFrame macro="">
      <xdr:nvGraphicFramePr>
        <xdr:cNvPr id="29" name="Chart 28">
          <a:extLst>
            <a:ext uri="{FF2B5EF4-FFF2-40B4-BE49-F238E27FC236}">
              <a16:creationId xmlns:a16="http://schemas.microsoft.com/office/drawing/2014/main" id="{813AFCFB-5FBF-9D41-B57E-6E041E079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0.17222</cdr:x>
      <cdr:y>0</cdr:y>
    </cdr:from>
    <cdr:to>
      <cdr:x>0.37222</cdr:x>
      <cdr:y>0.33333</cdr:y>
    </cdr:to>
    <cdr:sp macro="" textlink="">
      <cdr:nvSpPr>
        <cdr:cNvPr id="2" name="TextBox 1">
          <a:extLst xmlns:a="http://schemas.openxmlformats.org/drawingml/2006/main">
            <a:ext uri="{FF2B5EF4-FFF2-40B4-BE49-F238E27FC236}">
              <a16:creationId xmlns:a16="http://schemas.microsoft.com/office/drawing/2014/main" id="{26FF3598-C798-D61A-7C8F-C8B893781005}"/>
            </a:ext>
          </a:extLst>
        </cdr:cNvPr>
        <cdr:cNvSpPr txBox="1"/>
      </cdr:nvSpPr>
      <cdr:spPr>
        <a:xfrm xmlns:a="http://schemas.openxmlformats.org/drawingml/2006/main">
          <a:off x="787400" y="-635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0.15278</cdr:x>
      <cdr:y>0.01852</cdr:y>
    </cdr:from>
    <cdr:to>
      <cdr:x>0.40556</cdr:x>
      <cdr:y>0.13889</cdr:y>
    </cdr:to>
    <cdr:sp macro="" textlink="">
      <cdr:nvSpPr>
        <cdr:cNvPr id="3" name="TextBox 2">
          <a:extLst xmlns:a="http://schemas.openxmlformats.org/drawingml/2006/main">
            <a:ext uri="{FF2B5EF4-FFF2-40B4-BE49-F238E27FC236}">
              <a16:creationId xmlns:a16="http://schemas.microsoft.com/office/drawing/2014/main" id="{984E5D3B-746E-3900-14D3-DBDE3A679CFE}"/>
            </a:ext>
          </a:extLst>
        </cdr:cNvPr>
        <cdr:cNvSpPr txBox="1"/>
      </cdr:nvSpPr>
      <cdr:spPr>
        <a:xfrm xmlns:a="http://schemas.openxmlformats.org/drawingml/2006/main">
          <a:off x="698500" y="50800"/>
          <a:ext cx="1155700" cy="330200"/>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none" rtlCol="0"/>
        <a:lstStyle xmlns:a="http://schemas.openxmlformats.org/drawingml/2006/main"/>
        <a:p xmlns:a="http://schemas.openxmlformats.org/drawingml/2006/main">
          <a:r>
            <a:rPr lang="en-GB" sz="1400" b="1" kern="1200">
              <a:solidFill>
                <a:srgbClr val="F17000"/>
              </a:solidFill>
            </a:rPr>
            <a:t>Call trend </a:t>
          </a:r>
        </a:p>
      </cdr:txBody>
    </cdr:sp>
  </cdr:relSizeAnchor>
</c:userShapes>
</file>

<file path=xl/drawings/drawing3.xml><?xml version="1.0" encoding="utf-8"?>
<c:userShapes xmlns:c="http://schemas.openxmlformats.org/drawingml/2006/chart">
  <cdr:relSizeAnchor xmlns:cdr="http://schemas.openxmlformats.org/drawingml/2006/chartDrawing">
    <cdr:from>
      <cdr:x>0.31783</cdr:x>
      <cdr:y>0</cdr:y>
    </cdr:from>
    <cdr:to>
      <cdr:x>0.7236</cdr:x>
      <cdr:y>0.14116</cdr:y>
    </cdr:to>
    <cdr:sp macro="" textlink="">
      <cdr:nvSpPr>
        <cdr:cNvPr id="2" name="TextBox 1">
          <a:extLst xmlns:a="http://schemas.openxmlformats.org/drawingml/2006/main">
            <a:ext uri="{FF2B5EF4-FFF2-40B4-BE49-F238E27FC236}">
              <a16:creationId xmlns:a16="http://schemas.microsoft.com/office/drawing/2014/main" id="{029D2A34-9C2C-7DD7-80F1-FE5529D56F50}"/>
            </a:ext>
          </a:extLst>
        </cdr:cNvPr>
        <cdr:cNvSpPr txBox="1"/>
      </cdr:nvSpPr>
      <cdr:spPr>
        <a:xfrm xmlns:a="http://schemas.openxmlformats.org/drawingml/2006/main">
          <a:off x="1463566" y="0"/>
          <a:ext cx="1868506" cy="4087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ramdasu abhiram" refreshedDate="46297.520048726852" createdVersion="8" refreshedVersion="8" minRefreshableVersion="3" recordCount="1000" xr:uid="{F85F16BE-7730-A845-93E8-5EF6AC91751E}">
  <cacheSource type="worksheet">
    <worksheetSource name="calls"/>
  </cacheSource>
  <cacheFields count="18">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7"/>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ount="7">
        <s v="Sunday"/>
        <s v="Monday"/>
        <s v="Tuesday"/>
        <s v="Wednesday"/>
        <s v="Thursday"/>
        <s v="Friday"/>
        <s v="Saturday"/>
      </sharedItems>
    </cacheField>
    <cacheField name="Duration Bucket" numFmtId="0">
      <sharedItems/>
    </cacheField>
    <cacheField name="Rating rounded" numFmtId="0">
      <sharedItems containsSemiMixedTypes="0" containsString="0" containsNumber="1" containsInteger="1" minValue="0" maxValue="5" count="6">
        <n v="5"/>
        <n v="3"/>
        <n v="4"/>
        <n v="2"/>
        <n v="0"/>
        <n v="1"/>
      </sharedItems>
    </cacheField>
    <cacheField name="City" numFmtId="0">
      <sharedItems containsBlank="1" count="4">
        <s v="Cincinnati"/>
        <s v="Columbus"/>
        <s v="Cleveland"/>
        <m u="1"/>
      </sharedItems>
    </cacheField>
    <cacheField name="Gedner" numFmtId="9">
      <sharedItems containsBlank="1" count="3">
        <s v="Male"/>
        <s v="Female"/>
        <m u="1"/>
      </sharedItems>
    </cacheField>
    <cacheField name="Age" numFmtId="0">
      <sharedItems containsString="0" containsBlank="1" containsNumber="1" containsInteger="1" minValue="22" maxValue="43"/>
    </cacheField>
    <cacheField name="call count" numFmtId="0">
      <sharedItems containsSemiMixedTypes="0" containsString="0" containsNumber="1" containsInteger="1" minValue="1" maxValue="1"/>
    </cacheField>
    <cacheField name="5 star" numFmtId="0">
      <sharedItems containsSemiMixedTypes="0" containsString="0" containsNumber="1" containsInteger="1" minValue="0" maxValue="1"/>
    </cacheField>
    <cacheField name="Days (Date of Call)" numFmtId="0" databaseField="0">
      <fieldGroup base="4">
        <rangePr groupBy="days" startDate="2023-01-01T00:00:00" endDate="2024-01-01T00:00:00"/>
        <groupItems count="368">
          <s v="&lt;01/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4"/>
        </groupItems>
      </fieldGroup>
    </cacheField>
    <cacheField name="Months (Date of Call)" numFmtId="0" databaseField="0">
      <fieldGroup base="4">
        <rangePr groupBy="months" startDate="2023-01-01T00:00:00" endDate="2024-01-01T00:00:00"/>
        <groupItems count="14">
          <s v="&lt;01/01/23"/>
          <s v="Jan"/>
          <s v="Feb"/>
          <s v="Mar"/>
          <s v="Apr"/>
          <s v="May"/>
          <s v="Jun"/>
          <s v="Jul"/>
          <s v="Aug"/>
          <s v="Sep"/>
          <s v="Oct"/>
          <s v="Nov"/>
          <s v="Dec"/>
          <s v="&gt;01/01/24"/>
        </groupItems>
      </fieldGroup>
    </cacheField>
  </cacheFields>
  <extLst>
    <ext xmlns:x14="http://schemas.microsoft.com/office/spreadsheetml/2009/9/main" uri="{725AE2AE-9491-48be-B2B4-4EB974FC3084}">
      <x14:pivotCacheDefinition pivotCacheId="9553682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ramdasu abhiram" refreshedDate="46297.520048958337" createdVersion="8" refreshedVersion="8" minRefreshableVersion="3" recordCount="15" xr:uid="{D9C8BBF2-03FD-3844-BF22-7E3FB3905728}">
  <cacheSource type="worksheet">
    <worksheetSource name="customers"/>
  </cacheSource>
  <cacheFields count="4">
    <cacheField name="Customer ID" numFmtId="0">
      <sharedItems/>
    </cacheField>
    <cacheField name="Gedner" numFmtId="9">
      <sharedItems/>
    </cacheField>
    <cacheField name="Age" numFmtId="0">
      <sharedItems containsSemiMixedTypes="0" containsString="0" containsNumber="1" containsInteger="1" minValue="22" maxValue="43"/>
    </cacheField>
    <cacheField name="Cit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n v="116"/>
    <x v="0"/>
    <x v="0"/>
    <n v="128"/>
    <n v="4.9000000000000004"/>
    <n v="2023"/>
    <x v="0"/>
    <s v="1 to 2 hours"/>
    <x v="0"/>
    <x v="0"/>
    <x v="0"/>
    <n v="41"/>
    <n v="1"/>
    <n v="1"/>
  </r>
  <r>
    <s v="Call_7272"/>
    <x v="1"/>
    <n v="119"/>
    <x v="0"/>
    <x v="0"/>
    <n v="135"/>
    <n v="2.9"/>
    <n v="2023"/>
    <x v="0"/>
    <s v="1 to 2 hours"/>
    <x v="1"/>
    <x v="0"/>
    <x v="0"/>
    <n v="31"/>
    <n v="1"/>
    <n v="0"/>
  </r>
  <r>
    <s v="Call_7273"/>
    <x v="2"/>
    <n v="68"/>
    <x v="1"/>
    <x v="0"/>
    <n v="66"/>
    <n v="4.7"/>
    <n v="2023"/>
    <x v="0"/>
    <s v="1 to 2 hours"/>
    <x v="0"/>
    <x v="1"/>
    <x v="0"/>
    <n v="26"/>
    <n v="1"/>
    <n v="1"/>
  </r>
  <r>
    <s v="Call_7274"/>
    <x v="3"/>
    <n v="119"/>
    <x v="1"/>
    <x v="0"/>
    <n v="22"/>
    <n v="2.9"/>
    <n v="2023"/>
    <x v="0"/>
    <s v="1 to 2 hours"/>
    <x v="1"/>
    <x v="1"/>
    <x v="1"/>
    <n v="36"/>
    <n v="1"/>
    <n v="0"/>
  </r>
  <r>
    <s v="Call_7275"/>
    <x v="4"/>
    <n v="128"/>
    <x v="2"/>
    <x v="1"/>
    <n v="31"/>
    <n v="2.8"/>
    <n v="2023"/>
    <x v="1"/>
    <s v="More than 2 hours"/>
    <x v="1"/>
    <x v="0"/>
    <x v="1"/>
    <n v="37"/>
    <n v="1"/>
    <n v="0"/>
  </r>
  <r>
    <s v="Call_7276"/>
    <x v="4"/>
    <n v="49"/>
    <x v="1"/>
    <x v="2"/>
    <n v="135"/>
    <n v="4.8"/>
    <n v="2023"/>
    <x v="2"/>
    <s v="30 to 60 mins"/>
    <x v="0"/>
    <x v="0"/>
    <x v="1"/>
    <n v="23"/>
    <n v="1"/>
    <n v="1"/>
  </r>
  <r>
    <s v="Call_7277"/>
    <x v="5"/>
    <n v="84"/>
    <x v="0"/>
    <x v="2"/>
    <n v="60"/>
    <n v="4.7"/>
    <n v="2023"/>
    <x v="2"/>
    <s v="1 to 2 hours"/>
    <x v="0"/>
    <x v="2"/>
    <x v="1"/>
    <n v="22"/>
    <n v="1"/>
    <n v="1"/>
  </r>
  <r>
    <s v="Call_7278"/>
    <x v="0"/>
    <n v="103"/>
    <x v="3"/>
    <x v="2"/>
    <n v="148"/>
    <n v="4.4000000000000004"/>
    <n v="2023"/>
    <x v="2"/>
    <s v="1 to 2 hours"/>
    <x v="2"/>
    <x v="0"/>
    <x v="0"/>
    <n v="42"/>
    <n v="1"/>
    <n v="0"/>
  </r>
  <r>
    <s v="Call_7279"/>
    <x v="2"/>
    <n v="31"/>
    <x v="1"/>
    <x v="2"/>
    <n v="135"/>
    <n v="3.6"/>
    <n v="2023"/>
    <x v="2"/>
    <s v="30 to 60 mins"/>
    <x v="2"/>
    <x v="1"/>
    <x v="0"/>
    <n v="25"/>
    <n v="1"/>
    <n v="0"/>
  </r>
  <r>
    <s v="Call_7280"/>
    <x v="6"/>
    <n v="44"/>
    <x v="4"/>
    <x v="2"/>
    <n v="105"/>
    <n v="2.9"/>
    <n v="2023"/>
    <x v="2"/>
    <s v="30 to 60 mins"/>
    <x v="1"/>
    <x v="2"/>
    <x v="1"/>
    <n v="30"/>
    <n v="1"/>
    <n v="0"/>
  </r>
  <r>
    <s v="Call_7281"/>
    <x v="4"/>
    <n v="102"/>
    <x v="1"/>
    <x v="2"/>
    <n v="69"/>
    <n v="4.9000000000000004"/>
    <n v="2023"/>
    <x v="2"/>
    <s v="1 to 2 hours"/>
    <x v="0"/>
    <x v="0"/>
    <x v="1"/>
    <n v="30"/>
    <n v="1"/>
    <n v="1"/>
  </r>
  <r>
    <s v="Call_7282"/>
    <x v="7"/>
    <n v="135"/>
    <x v="0"/>
    <x v="2"/>
    <n v="46"/>
    <n v="3.4"/>
    <n v="2023"/>
    <x v="2"/>
    <s v="More than 2 hours"/>
    <x v="1"/>
    <x v="2"/>
    <x v="1"/>
    <n v="28"/>
    <n v="1"/>
    <n v="0"/>
  </r>
  <r>
    <s v="Call_7283"/>
    <x v="8"/>
    <n v="98"/>
    <x v="1"/>
    <x v="3"/>
    <n v="108"/>
    <n v="3.5"/>
    <n v="2023"/>
    <x v="3"/>
    <s v="1 to 2 hours"/>
    <x v="2"/>
    <x v="2"/>
    <x v="0"/>
    <n v="37"/>
    <n v="1"/>
    <n v="0"/>
  </r>
  <r>
    <s v="Call_7284"/>
    <x v="6"/>
    <n v="139"/>
    <x v="1"/>
    <x v="3"/>
    <n v="96"/>
    <n v="4"/>
    <n v="2023"/>
    <x v="3"/>
    <s v="More than 2 hours"/>
    <x v="2"/>
    <x v="2"/>
    <x v="1"/>
    <n v="38"/>
    <n v="1"/>
    <n v="0"/>
  </r>
  <r>
    <s v="Call_7285"/>
    <x v="7"/>
    <n v="48"/>
    <x v="2"/>
    <x v="3"/>
    <n v="68"/>
    <n v="4.9000000000000004"/>
    <n v="2023"/>
    <x v="3"/>
    <s v="30 to 60 mins"/>
    <x v="0"/>
    <x v="2"/>
    <x v="1"/>
    <n v="43"/>
    <n v="1"/>
    <n v="1"/>
  </r>
  <r>
    <s v="Call_7286"/>
    <x v="6"/>
    <n v="176"/>
    <x v="0"/>
    <x v="4"/>
    <n v="24"/>
    <n v="4.8"/>
    <n v="2023"/>
    <x v="4"/>
    <s v="More than 2 hours"/>
    <x v="0"/>
    <x v="2"/>
    <x v="1"/>
    <m/>
    <n v="1"/>
    <n v="1"/>
  </r>
  <r>
    <s v="Call_7287"/>
    <x v="6"/>
    <n v="99"/>
    <x v="2"/>
    <x v="4"/>
    <n v="195"/>
    <n v="3.9"/>
    <n v="2023"/>
    <x v="4"/>
    <s v="1 to 2 hours"/>
    <x v="2"/>
    <x v="2"/>
    <x v="1"/>
    <m/>
    <n v="1"/>
    <n v="0"/>
  </r>
  <r>
    <s v="Call_7288"/>
    <x v="9"/>
    <n v="28"/>
    <x v="4"/>
    <x v="4"/>
    <n v="28"/>
    <n v="3.8"/>
    <n v="2023"/>
    <x v="4"/>
    <s v="10 to 30 mins"/>
    <x v="2"/>
    <x v="1"/>
    <x v="1"/>
    <m/>
    <n v="1"/>
    <n v="0"/>
  </r>
  <r>
    <s v="Call_7289"/>
    <x v="5"/>
    <n v="54"/>
    <x v="1"/>
    <x v="4"/>
    <n v="170"/>
    <n v="4.3"/>
    <n v="2023"/>
    <x v="4"/>
    <s v="30 to 60 mins"/>
    <x v="2"/>
    <x v="2"/>
    <x v="1"/>
    <m/>
    <n v="1"/>
    <n v="0"/>
  </r>
  <r>
    <s v="Call_7290"/>
    <x v="10"/>
    <n v="48"/>
    <x v="0"/>
    <x v="5"/>
    <n v="30"/>
    <n v="4.4000000000000004"/>
    <n v="2023"/>
    <x v="5"/>
    <s v="30 to 60 mins"/>
    <x v="2"/>
    <x v="1"/>
    <x v="0"/>
    <m/>
    <n v="1"/>
    <n v="0"/>
  </r>
  <r>
    <s v="Call_7291"/>
    <x v="1"/>
    <n v="128"/>
    <x v="0"/>
    <x v="5"/>
    <n v="72"/>
    <n v="5"/>
    <n v="2023"/>
    <x v="5"/>
    <s v="More than 2 hours"/>
    <x v="0"/>
    <x v="0"/>
    <x v="0"/>
    <m/>
    <n v="1"/>
    <n v="1"/>
  </r>
  <r>
    <s v="Call_7292"/>
    <x v="1"/>
    <n v="38"/>
    <x v="3"/>
    <x v="6"/>
    <n v="92"/>
    <n v="4.9000000000000004"/>
    <n v="2023"/>
    <x v="6"/>
    <s v="30 to 60 mins"/>
    <x v="0"/>
    <x v="0"/>
    <x v="0"/>
    <m/>
    <n v="1"/>
    <n v="1"/>
  </r>
  <r>
    <s v="Call_7293"/>
    <x v="0"/>
    <n v="67"/>
    <x v="3"/>
    <x v="7"/>
    <n v="165"/>
    <n v="4.5"/>
    <n v="2023"/>
    <x v="0"/>
    <s v="1 to 2 hours"/>
    <x v="0"/>
    <x v="0"/>
    <x v="0"/>
    <m/>
    <n v="1"/>
    <n v="1"/>
  </r>
  <r>
    <s v="Call_7294"/>
    <x v="11"/>
    <n v="58"/>
    <x v="1"/>
    <x v="7"/>
    <n v="140"/>
    <n v="2.1"/>
    <n v="2023"/>
    <x v="0"/>
    <s v="30 to 60 mins"/>
    <x v="3"/>
    <x v="2"/>
    <x v="1"/>
    <m/>
    <n v="1"/>
    <n v="0"/>
  </r>
  <r>
    <s v="Call_7295"/>
    <x v="6"/>
    <n v="54"/>
    <x v="2"/>
    <x v="7"/>
    <n v="111"/>
    <n v="3.3"/>
    <n v="2023"/>
    <x v="0"/>
    <s v="30 to 60 mins"/>
    <x v="1"/>
    <x v="2"/>
    <x v="1"/>
    <m/>
    <n v="1"/>
    <n v="0"/>
  </r>
  <r>
    <s v="Call_7296"/>
    <x v="12"/>
    <n v="28"/>
    <x v="0"/>
    <x v="8"/>
    <n v="63"/>
    <n v="4.0999999999999996"/>
    <n v="2023"/>
    <x v="1"/>
    <s v="10 to 30 mins"/>
    <x v="2"/>
    <x v="0"/>
    <x v="1"/>
    <m/>
    <n v="1"/>
    <n v="0"/>
  </r>
  <r>
    <s v="Call_7297"/>
    <x v="8"/>
    <n v="73"/>
    <x v="0"/>
    <x v="8"/>
    <n v="80"/>
    <n v="4.2"/>
    <n v="2023"/>
    <x v="1"/>
    <s v="1 to 2 hours"/>
    <x v="2"/>
    <x v="2"/>
    <x v="0"/>
    <m/>
    <n v="1"/>
    <n v="0"/>
  </r>
  <r>
    <s v="Call_7298"/>
    <x v="4"/>
    <n v="81"/>
    <x v="0"/>
    <x v="9"/>
    <n v="50"/>
    <n v="4.5999999999999996"/>
    <n v="2023"/>
    <x v="2"/>
    <s v="1 to 2 hours"/>
    <x v="0"/>
    <x v="0"/>
    <x v="1"/>
    <m/>
    <n v="1"/>
    <n v="1"/>
  </r>
  <r>
    <s v="Call_7299"/>
    <x v="9"/>
    <n v="31"/>
    <x v="3"/>
    <x v="9"/>
    <n v="123"/>
    <n v="2.9"/>
    <n v="2023"/>
    <x v="2"/>
    <s v="30 to 60 mins"/>
    <x v="1"/>
    <x v="1"/>
    <x v="1"/>
    <m/>
    <n v="1"/>
    <n v="0"/>
  </r>
  <r>
    <s v="Call_7300"/>
    <x v="11"/>
    <n v="155"/>
    <x v="2"/>
    <x v="9"/>
    <n v="110"/>
    <n v="4.8"/>
    <n v="2023"/>
    <x v="2"/>
    <s v="More than 2 hours"/>
    <x v="0"/>
    <x v="2"/>
    <x v="1"/>
    <m/>
    <n v="1"/>
    <n v="1"/>
  </r>
  <r>
    <s v="Call_7301"/>
    <x v="9"/>
    <n v="80"/>
    <x v="0"/>
    <x v="9"/>
    <n v="140"/>
    <n v="4.2"/>
    <n v="2023"/>
    <x v="2"/>
    <s v="1 to 2 hours"/>
    <x v="2"/>
    <x v="1"/>
    <x v="1"/>
    <m/>
    <n v="1"/>
    <n v="0"/>
  </r>
  <r>
    <s v="Call_7302"/>
    <x v="4"/>
    <n v="82"/>
    <x v="0"/>
    <x v="10"/>
    <n v="42"/>
    <n v="3.7"/>
    <n v="2023"/>
    <x v="4"/>
    <s v="1 to 2 hours"/>
    <x v="2"/>
    <x v="0"/>
    <x v="1"/>
    <m/>
    <n v="1"/>
    <n v="0"/>
  </r>
  <r>
    <s v="Call_7303"/>
    <x v="4"/>
    <n v="29"/>
    <x v="2"/>
    <x v="10"/>
    <n v="170"/>
    <n v="5"/>
    <n v="2023"/>
    <x v="4"/>
    <s v="10 to 30 mins"/>
    <x v="0"/>
    <x v="0"/>
    <x v="1"/>
    <m/>
    <n v="1"/>
    <n v="1"/>
  </r>
  <r>
    <s v="Call_7304"/>
    <x v="10"/>
    <n v="160"/>
    <x v="1"/>
    <x v="11"/>
    <n v="105"/>
    <n v="5"/>
    <n v="2023"/>
    <x v="6"/>
    <s v="More than 2 hours"/>
    <x v="0"/>
    <x v="1"/>
    <x v="0"/>
    <m/>
    <n v="1"/>
    <n v="1"/>
  </r>
  <r>
    <s v="Call_7305"/>
    <x v="13"/>
    <n v="105"/>
    <x v="0"/>
    <x v="12"/>
    <n v="125"/>
    <n v="4.8"/>
    <n v="2023"/>
    <x v="0"/>
    <s v="1 to 2 hours"/>
    <x v="0"/>
    <x v="1"/>
    <x v="0"/>
    <m/>
    <n v="1"/>
    <n v="1"/>
  </r>
  <r>
    <s v="Call_7306"/>
    <x v="9"/>
    <n v="75"/>
    <x v="4"/>
    <x v="12"/>
    <n v="26"/>
    <n v="2.4"/>
    <n v="2023"/>
    <x v="0"/>
    <s v="1 to 2 hours"/>
    <x v="3"/>
    <x v="1"/>
    <x v="1"/>
    <m/>
    <n v="1"/>
    <n v="0"/>
  </r>
  <r>
    <s v="Call_7307"/>
    <x v="11"/>
    <n v="94"/>
    <x v="4"/>
    <x v="13"/>
    <n v="120"/>
    <n v="3.1"/>
    <n v="2023"/>
    <x v="1"/>
    <s v="1 to 2 hours"/>
    <x v="1"/>
    <x v="2"/>
    <x v="1"/>
    <m/>
    <n v="1"/>
    <n v="0"/>
  </r>
  <r>
    <s v="Call_7308"/>
    <x v="1"/>
    <n v="90"/>
    <x v="1"/>
    <x v="13"/>
    <n v="132"/>
    <n v="3.2"/>
    <n v="2023"/>
    <x v="1"/>
    <s v="1 to 2 hours"/>
    <x v="1"/>
    <x v="0"/>
    <x v="0"/>
    <m/>
    <n v="1"/>
    <n v="0"/>
  </r>
  <r>
    <s v="Call_7309"/>
    <x v="11"/>
    <n v="81"/>
    <x v="3"/>
    <x v="14"/>
    <n v="86"/>
    <n v="2.4"/>
    <n v="2023"/>
    <x v="2"/>
    <s v="1 to 2 hours"/>
    <x v="3"/>
    <x v="2"/>
    <x v="1"/>
    <m/>
    <n v="1"/>
    <n v="0"/>
  </r>
  <r>
    <s v="Call_7310"/>
    <x v="9"/>
    <n v="106"/>
    <x v="0"/>
    <x v="14"/>
    <n v="108"/>
    <n v="5"/>
    <n v="2023"/>
    <x v="2"/>
    <s v="1 to 2 hours"/>
    <x v="0"/>
    <x v="1"/>
    <x v="1"/>
    <m/>
    <n v="1"/>
    <n v="1"/>
  </r>
  <r>
    <s v="Call_7311"/>
    <x v="1"/>
    <n v="74"/>
    <x v="3"/>
    <x v="14"/>
    <n v="96"/>
    <n v="4.7"/>
    <n v="2023"/>
    <x v="2"/>
    <s v="1 to 2 hours"/>
    <x v="0"/>
    <x v="0"/>
    <x v="0"/>
    <m/>
    <n v="1"/>
    <n v="1"/>
  </r>
  <r>
    <s v="Call_7312"/>
    <x v="6"/>
    <n v="105"/>
    <x v="1"/>
    <x v="15"/>
    <n v="80"/>
    <n v="4.7"/>
    <n v="2023"/>
    <x v="3"/>
    <s v="1 to 2 hours"/>
    <x v="0"/>
    <x v="2"/>
    <x v="1"/>
    <m/>
    <n v="1"/>
    <n v="1"/>
  </r>
  <r>
    <s v="Call_7313"/>
    <x v="9"/>
    <n v="89"/>
    <x v="0"/>
    <x v="15"/>
    <n v="155"/>
    <n v="4.0999999999999996"/>
    <n v="2023"/>
    <x v="3"/>
    <s v="1 to 2 hours"/>
    <x v="2"/>
    <x v="1"/>
    <x v="1"/>
    <m/>
    <n v="1"/>
    <n v="0"/>
  </r>
  <r>
    <s v="Call_7314"/>
    <x v="7"/>
    <n v="132"/>
    <x v="4"/>
    <x v="15"/>
    <n v="168"/>
    <n v="4.0999999999999996"/>
    <n v="2023"/>
    <x v="3"/>
    <s v="More than 2 hours"/>
    <x v="2"/>
    <x v="2"/>
    <x v="1"/>
    <m/>
    <n v="1"/>
    <n v="0"/>
  </r>
  <r>
    <s v="Call_7315"/>
    <x v="13"/>
    <n v="105"/>
    <x v="2"/>
    <x v="15"/>
    <n v="56"/>
    <n v="3.6"/>
    <n v="2023"/>
    <x v="3"/>
    <s v="1 to 2 hours"/>
    <x v="2"/>
    <x v="1"/>
    <x v="0"/>
    <m/>
    <n v="1"/>
    <n v="0"/>
  </r>
  <r>
    <s v="Call_7316"/>
    <x v="4"/>
    <n v="13"/>
    <x v="4"/>
    <x v="16"/>
    <n v="32"/>
    <n v="4.4000000000000004"/>
    <n v="2023"/>
    <x v="4"/>
    <s v="10 to 30 mins"/>
    <x v="2"/>
    <x v="0"/>
    <x v="1"/>
    <m/>
    <n v="1"/>
    <n v="0"/>
  </r>
  <r>
    <s v="Call_7317"/>
    <x v="3"/>
    <n v="131"/>
    <x v="2"/>
    <x v="16"/>
    <n v="78"/>
    <n v="4.4000000000000004"/>
    <n v="2023"/>
    <x v="4"/>
    <s v="More than 2 hours"/>
    <x v="2"/>
    <x v="1"/>
    <x v="1"/>
    <m/>
    <n v="1"/>
    <n v="0"/>
  </r>
  <r>
    <s v="Call_7318"/>
    <x v="1"/>
    <n v="104"/>
    <x v="0"/>
    <x v="16"/>
    <n v="86"/>
    <n v="4"/>
    <n v="2023"/>
    <x v="4"/>
    <s v="1 to 2 hours"/>
    <x v="2"/>
    <x v="0"/>
    <x v="0"/>
    <m/>
    <n v="1"/>
    <n v="0"/>
  </r>
  <r>
    <s v="Call_7319"/>
    <x v="0"/>
    <n v="90"/>
    <x v="1"/>
    <x v="17"/>
    <n v="64"/>
    <n v="3.8"/>
    <n v="2023"/>
    <x v="5"/>
    <s v="1 to 2 hours"/>
    <x v="2"/>
    <x v="0"/>
    <x v="0"/>
    <m/>
    <n v="1"/>
    <n v="0"/>
  </r>
  <r>
    <s v="Call_7320"/>
    <x v="12"/>
    <n v="37"/>
    <x v="1"/>
    <x v="17"/>
    <n v="96"/>
    <n v="3.6"/>
    <n v="2023"/>
    <x v="5"/>
    <s v="30 to 60 mins"/>
    <x v="2"/>
    <x v="0"/>
    <x v="1"/>
    <m/>
    <n v="1"/>
    <n v="0"/>
  </r>
  <r>
    <s v="Call_7321"/>
    <x v="8"/>
    <n v="149"/>
    <x v="2"/>
    <x v="17"/>
    <n v="72"/>
    <n v="4.3"/>
    <n v="2023"/>
    <x v="5"/>
    <s v="More than 2 hours"/>
    <x v="2"/>
    <x v="2"/>
    <x v="0"/>
    <m/>
    <n v="1"/>
    <n v="0"/>
  </r>
  <r>
    <s v="Call_7322"/>
    <x v="7"/>
    <n v="100"/>
    <x v="3"/>
    <x v="18"/>
    <n v="135"/>
    <n v="3.8"/>
    <n v="2023"/>
    <x v="6"/>
    <s v="1 to 2 hours"/>
    <x v="2"/>
    <x v="2"/>
    <x v="1"/>
    <m/>
    <n v="1"/>
    <n v="0"/>
  </r>
  <r>
    <s v="Call_7323"/>
    <x v="7"/>
    <n v="79"/>
    <x v="4"/>
    <x v="18"/>
    <n v="140"/>
    <n v="4.5"/>
    <n v="2023"/>
    <x v="6"/>
    <s v="1 to 2 hours"/>
    <x v="0"/>
    <x v="2"/>
    <x v="1"/>
    <m/>
    <n v="1"/>
    <n v="1"/>
  </r>
  <r>
    <s v="Call_7324"/>
    <x v="14"/>
    <n v="157"/>
    <x v="2"/>
    <x v="18"/>
    <n v="69"/>
    <n v="4.5"/>
    <n v="2023"/>
    <x v="6"/>
    <s v="More than 2 hours"/>
    <x v="0"/>
    <x v="2"/>
    <x v="1"/>
    <m/>
    <n v="1"/>
    <n v="1"/>
  </r>
  <r>
    <s v="Call_7325"/>
    <x v="7"/>
    <n v="59"/>
    <x v="0"/>
    <x v="19"/>
    <n v="136"/>
    <n v="4.5999999999999996"/>
    <n v="2023"/>
    <x v="0"/>
    <s v="30 to 60 mins"/>
    <x v="0"/>
    <x v="2"/>
    <x v="1"/>
    <m/>
    <n v="1"/>
    <n v="1"/>
  </r>
  <r>
    <s v="Call_7326"/>
    <x v="12"/>
    <n v="83"/>
    <x v="2"/>
    <x v="19"/>
    <n v="28"/>
    <n v="4.5"/>
    <n v="2023"/>
    <x v="0"/>
    <s v="1 to 2 hours"/>
    <x v="0"/>
    <x v="0"/>
    <x v="1"/>
    <m/>
    <n v="1"/>
    <n v="1"/>
  </r>
  <r>
    <s v="Call_7327"/>
    <x v="14"/>
    <n v="58"/>
    <x v="1"/>
    <x v="20"/>
    <n v="135"/>
    <n v="3.3"/>
    <n v="2023"/>
    <x v="1"/>
    <s v="30 to 60 mins"/>
    <x v="1"/>
    <x v="2"/>
    <x v="1"/>
    <m/>
    <n v="1"/>
    <n v="0"/>
  </r>
  <r>
    <s v="Call_7328"/>
    <x v="11"/>
    <n v="118"/>
    <x v="1"/>
    <x v="20"/>
    <n v="126"/>
    <n v="2.2999999999999998"/>
    <n v="2023"/>
    <x v="1"/>
    <s v="1 to 2 hours"/>
    <x v="3"/>
    <x v="2"/>
    <x v="1"/>
    <m/>
    <n v="1"/>
    <n v="0"/>
  </r>
  <r>
    <s v="Call_7329"/>
    <x v="4"/>
    <n v="63"/>
    <x v="0"/>
    <x v="20"/>
    <n v="160"/>
    <n v="4.3"/>
    <n v="2023"/>
    <x v="1"/>
    <s v="1 to 2 hours"/>
    <x v="2"/>
    <x v="0"/>
    <x v="1"/>
    <m/>
    <n v="1"/>
    <n v="0"/>
  </r>
  <r>
    <s v="Call_7330"/>
    <x v="14"/>
    <n v="95"/>
    <x v="1"/>
    <x v="21"/>
    <n v="48"/>
    <n v="4.5999999999999996"/>
    <n v="2023"/>
    <x v="2"/>
    <s v="1 to 2 hours"/>
    <x v="0"/>
    <x v="2"/>
    <x v="1"/>
    <m/>
    <n v="1"/>
    <n v="1"/>
  </r>
  <r>
    <s v="Call_7331"/>
    <x v="7"/>
    <n v="74"/>
    <x v="2"/>
    <x v="21"/>
    <n v="66"/>
    <n v="4"/>
    <n v="2023"/>
    <x v="2"/>
    <s v="1 to 2 hours"/>
    <x v="2"/>
    <x v="2"/>
    <x v="1"/>
    <m/>
    <n v="1"/>
    <n v="0"/>
  </r>
  <r>
    <s v="Call_7332"/>
    <x v="6"/>
    <n v="130"/>
    <x v="3"/>
    <x v="21"/>
    <n v="126"/>
    <n v="2.5"/>
    <n v="2023"/>
    <x v="2"/>
    <s v="More than 2 hours"/>
    <x v="1"/>
    <x v="2"/>
    <x v="1"/>
    <m/>
    <n v="1"/>
    <n v="0"/>
  </r>
  <r>
    <s v="Call_7333"/>
    <x v="11"/>
    <n v="110"/>
    <x v="4"/>
    <x v="21"/>
    <n v="96"/>
    <n v="5"/>
    <n v="2023"/>
    <x v="2"/>
    <s v="1 to 2 hours"/>
    <x v="0"/>
    <x v="2"/>
    <x v="1"/>
    <m/>
    <n v="1"/>
    <n v="1"/>
  </r>
  <r>
    <s v="Call_7334"/>
    <x v="7"/>
    <n v="71"/>
    <x v="0"/>
    <x v="22"/>
    <n v="90"/>
    <n v="3.8"/>
    <n v="2023"/>
    <x v="3"/>
    <s v="1 to 2 hours"/>
    <x v="2"/>
    <x v="2"/>
    <x v="1"/>
    <m/>
    <n v="1"/>
    <n v="0"/>
  </r>
  <r>
    <s v="Call_7335"/>
    <x v="13"/>
    <n v="147"/>
    <x v="3"/>
    <x v="22"/>
    <n v="105"/>
    <n v="4.4000000000000004"/>
    <n v="2023"/>
    <x v="3"/>
    <s v="More than 2 hours"/>
    <x v="2"/>
    <x v="1"/>
    <x v="0"/>
    <m/>
    <n v="1"/>
    <n v="0"/>
  </r>
  <r>
    <s v="Call_7336"/>
    <x v="1"/>
    <n v="69"/>
    <x v="1"/>
    <x v="23"/>
    <n v="40"/>
    <n v="3.8"/>
    <n v="2023"/>
    <x v="4"/>
    <s v="1 to 2 hours"/>
    <x v="2"/>
    <x v="0"/>
    <x v="0"/>
    <m/>
    <n v="1"/>
    <n v="0"/>
  </r>
  <r>
    <s v="Call_7337"/>
    <x v="11"/>
    <n v="50"/>
    <x v="0"/>
    <x v="23"/>
    <n v="60"/>
    <n v="2"/>
    <n v="2023"/>
    <x v="4"/>
    <s v="30 to 60 mins"/>
    <x v="3"/>
    <x v="2"/>
    <x v="1"/>
    <m/>
    <n v="1"/>
    <n v="0"/>
  </r>
  <r>
    <s v="Call_7338"/>
    <x v="6"/>
    <n v="124"/>
    <x v="3"/>
    <x v="24"/>
    <n v="215"/>
    <n v="4.0999999999999996"/>
    <n v="2023"/>
    <x v="5"/>
    <s v="More than 2 hours"/>
    <x v="2"/>
    <x v="2"/>
    <x v="1"/>
    <m/>
    <n v="1"/>
    <n v="0"/>
  </r>
  <r>
    <s v="Call_7339"/>
    <x v="2"/>
    <n v="81"/>
    <x v="2"/>
    <x v="24"/>
    <n v="156"/>
    <n v="2.6"/>
    <n v="2023"/>
    <x v="5"/>
    <s v="1 to 2 hours"/>
    <x v="1"/>
    <x v="1"/>
    <x v="0"/>
    <m/>
    <n v="1"/>
    <n v="0"/>
  </r>
  <r>
    <s v="Call_7340"/>
    <x v="10"/>
    <n v="141"/>
    <x v="4"/>
    <x v="24"/>
    <n v="54"/>
    <n v="0"/>
    <n v="2023"/>
    <x v="5"/>
    <s v="More than 2 hours"/>
    <x v="4"/>
    <x v="1"/>
    <x v="0"/>
    <m/>
    <n v="1"/>
    <n v="0"/>
  </r>
  <r>
    <s v="Call_7341"/>
    <x v="10"/>
    <n v="168"/>
    <x v="4"/>
    <x v="25"/>
    <n v="160"/>
    <n v="3.9"/>
    <n v="2023"/>
    <x v="6"/>
    <s v="More than 2 hours"/>
    <x v="2"/>
    <x v="1"/>
    <x v="0"/>
    <m/>
    <n v="1"/>
    <n v="0"/>
  </r>
  <r>
    <s v="Call_7342"/>
    <x v="13"/>
    <n v="101"/>
    <x v="2"/>
    <x v="25"/>
    <n v="80"/>
    <n v="4.8"/>
    <n v="2023"/>
    <x v="6"/>
    <s v="1 to 2 hours"/>
    <x v="0"/>
    <x v="1"/>
    <x v="0"/>
    <m/>
    <n v="1"/>
    <n v="1"/>
  </r>
  <r>
    <s v="Call_7343"/>
    <x v="7"/>
    <n v="67"/>
    <x v="2"/>
    <x v="25"/>
    <n v="168"/>
    <n v="2.6"/>
    <n v="2023"/>
    <x v="6"/>
    <s v="1 to 2 hours"/>
    <x v="1"/>
    <x v="2"/>
    <x v="1"/>
    <m/>
    <n v="1"/>
    <n v="0"/>
  </r>
  <r>
    <s v="Call_7344"/>
    <x v="14"/>
    <n v="114"/>
    <x v="4"/>
    <x v="26"/>
    <n v="42"/>
    <n v="2.6"/>
    <n v="2023"/>
    <x v="1"/>
    <s v="1 to 2 hours"/>
    <x v="1"/>
    <x v="2"/>
    <x v="1"/>
    <m/>
    <n v="1"/>
    <n v="0"/>
  </r>
  <r>
    <s v="Call_7345"/>
    <x v="2"/>
    <n v="42"/>
    <x v="2"/>
    <x v="26"/>
    <n v="205"/>
    <n v="3.6"/>
    <n v="2023"/>
    <x v="1"/>
    <s v="30 to 60 mins"/>
    <x v="2"/>
    <x v="1"/>
    <x v="0"/>
    <m/>
    <n v="1"/>
    <n v="0"/>
  </r>
  <r>
    <s v="Call_7346"/>
    <x v="4"/>
    <n v="69"/>
    <x v="4"/>
    <x v="26"/>
    <n v="108"/>
    <n v="3.3"/>
    <n v="2023"/>
    <x v="1"/>
    <s v="1 to 2 hours"/>
    <x v="1"/>
    <x v="0"/>
    <x v="1"/>
    <m/>
    <n v="1"/>
    <n v="0"/>
  </r>
  <r>
    <s v="Call_7347"/>
    <x v="6"/>
    <n v="145"/>
    <x v="1"/>
    <x v="26"/>
    <n v="78"/>
    <n v="1.9"/>
    <n v="2023"/>
    <x v="1"/>
    <s v="More than 2 hours"/>
    <x v="3"/>
    <x v="2"/>
    <x v="1"/>
    <m/>
    <n v="1"/>
    <n v="0"/>
  </r>
  <r>
    <s v="Call_7348"/>
    <x v="1"/>
    <n v="43"/>
    <x v="4"/>
    <x v="26"/>
    <n v="23"/>
    <n v="4.9000000000000004"/>
    <n v="2023"/>
    <x v="1"/>
    <s v="30 to 60 mins"/>
    <x v="0"/>
    <x v="0"/>
    <x v="0"/>
    <m/>
    <n v="1"/>
    <n v="1"/>
  </r>
  <r>
    <s v="Call_7349"/>
    <x v="4"/>
    <n v="62"/>
    <x v="0"/>
    <x v="27"/>
    <n v="99"/>
    <n v="3.6"/>
    <n v="2023"/>
    <x v="2"/>
    <s v="1 to 2 hours"/>
    <x v="2"/>
    <x v="0"/>
    <x v="1"/>
    <m/>
    <n v="1"/>
    <n v="0"/>
  </r>
  <r>
    <s v="Call_7350"/>
    <x v="9"/>
    <n v="79"/>
    <x v="4"/>
    <x v="28"/>
    <n v="148"/>
    <n v="4.5"/>
    <n v="2023"/>
    <x v="3"/>
    <s v="1 to 2 hours"/>
    <x v="0"/>
    <x v="1"/>
    <x v="1"/>
    <m/>
    <n v="1"/>
    <n v="1"/>
  </r>
  <r>
    <s v="Call_7351"/>
    <x v="6"/>
    <n v="45"/>
    <x v="3"/>
    <x v="28"/>
    <n v="34"/>
    <n v="3.7"/>
    <n v="2023"/>
    <x v="3"/>
    <s v="30 to 60 mins"/>
    <x v="2"/>
    <x v="2"/>
    <x v="1"/>
    <m/>
    <n v="1"/>
    <n v="0"/>
  </r>
  <r>
    <s v="Call_7352"/>
    <x v="4"/>
    <n v="137"/>
    <x v="4"/>
    <x v="28"/>
    <n v="86"/>
    <n v="4.8"/>
    <n v="2023"/>
    <x v="3"/>
    <s v="More than 2 hours"/>
    <x v="0"/>
    <x v="0"/>
    <x v="1"/>
    <m/>
    <n v="1"/>
    <n v="1"/>
  </r>
  <r>
    <s v="Call_7353"/>
    <x v="14"/>
    <n v="109"/>
    <x v="0"/>
    <x v="28"/>
    <n v="105"/>
    <n v="3.3"/>
    <n v="2023"/>
    <x v="3"/>
    <s v="1 to 2 hours"/>
    <x v="1"/>
    <x v="2"/>
    <x v="1"/>
    <m/>
    <n v="1"/>
    <n v="0"/>
  </r>
  <r>
    <s v="Call_7354"/>
    <x v="1"/>
    <n v="78"/>
    <x v="0"/>
    <x v="28"/>
    <n v="62"/>
    <n v="3.1"/>
    <n v="2023"/>
    <x v="3"/>
    <s v="1 to 2 hours"/>
    <x v="1"/>
    <x v="0"/>
    <x v="0"/>
    <m/>
    <n v="1"/>
    <n v="0"/>
  </r>
  <r>
    <s v="Call_7355"/>
    <x v="4"/>
    <n v="137"/>
    <x v="3"/>
    <x v="28"/>
    <n v="90"/>
    <n v="4.0999999999999996"/>
    <n v="2023"/>
    <x v="3"/>
    <s v="More than 2 hours"/>
    <x v="2"/>
    <x v="0"/>
    <x v="1"/>
    <m/>
    <n v="1"/>
    <n v="0"/>
  </r>
  <r>
    <s v="Call_7356"/>
    <x v="3"/>
    <n v="99"/>
    <x v="0"/>
    <x v="29"/>
    <n v="112"/>
    <n v="4.9000000000000004"/>
    <n v="2023"/>
    <x v="4"/>
    <s v="1 to 2 hours"/>
    <x v="0"/>
    <x v="1"/>
    <x v="1"/>
    <m/>
    <n v="1"/>
    <n v="1"/>
  </r>
  <r>
    <s v="Call_7357"/>
    <x v="11"/>
    <n v="100"/>
    <x v="0"/>
    <x v="29"/>
    <n v="135"/>
    <n v="4"/>
    <n v="2023"/>
    <x v="4"/>
    <s v="1 to 2 hours"/>
    <x v="2"/>
    <x v="2"/>
    <x v="1"/>
    <m/>
    <n v="1"/>
    <n v="0"/>
  </r>
  <r>
    <s v="Call_7358"/>
    <x v="1"/>
    <n v="47"/>
    <x v="1"/>
    <x v="29"/>
    <n v="34"/>
    <n v="2.1"/>
    <n v="2023"/>
    <x v="4"/>
    <s v="30 to 60 mins"/>
    <x v="3"/>
    <x v="0"/>
    <x v="0"/>
    <m/>
    <n v="1"/>
    <n v="0"/>
  </r>
  <r>
    <s v="Call_7359"/>
    <x v="14"/>
    <n v="87"/>
    <x v="2"/>
    <x v="29"/>
    <n v="155"/>
    <n v="4.5"/>
    <n v="2023"/>
    <x v="4"/>
    <s v="1 to 2 hours"/>
    <x v="0"/>
    <x v="2"/>
    <x v="1"/>
    <m/>
    <n v="1"/>
    <n v="1"/>
  </r>
  <r>
    <s v="Call_7360"/>
    <x v="3"/>
    <n v="143"/>
    <x v="2"/>
    <x v="30"/>
    <n v="124"/>
    <n v="4.9000000000000004"/>
    <n v="2023"/>
    <x v="6"/>
    <s v="More than 2 hours"/>
    <x v="0"/>
    <x v="1"/>
    <x v="1"/>
    <m/>
    <n v="1"/>
    <n v="1"/>
  </r>
  <r>
    <s v="Call_7361"/>
    <x v="11"/>
    <n v="84"/>
    <x v="0"/>
    <x v="30"/>
    <n v="195"/>
    <n v="4.0999999999999996"/>
    <n v="2023"/>
    <x v="6"/>
    <s v="1 to 2 hours"/>
    <x v="2"/>
    <x v="2"/>
    <x v="1"/>
    <m/>
    <n v="1"/>
    <n v="0"/>
  </r>
  <r>
    <s v="Call_7362"/>
    <x v="13"/>
    <n v="55"/>
    <x v="2"/>
    <x v="31"/>
    <n v="78"/>
    <n v="4.5"/>
    <n v="2023"/>
    <x v="0"/>
    <s v="30 to 60 mins"/>
    <x v="0"/>
    <x v="1"/>
    <x v="0"/>
    <m/>
    <n v="1"/>
    <n v="1"/>
  </r>
  <r>
    <s v="Call_7363"/>
    <x v="5"/>
    <n v="135"/>
    <x v="3"/>
    <x v="32"/>
    <n v="35"/>
    <n v="4.8"/>
    <n v="2023"/>
    <x v="2"/>
    <s v="More than 2 hours"/>
    <x v="0"/>
    <x v="2"/>
    <x v="1"/>
    <m/>
    <n v="1"/>
    <n v="1"/>
  </r>
  <r>
    <s v="Call_7364"/>
    <x v="12"/>
    <n v="152"/>
    <x v="1"/>
    <x v="32"/>
    <n v="123"/>
    <n v="4.5999999999999996"/>
    <n v="2023"/>
    <x v="2"/>
    <s v="More than 2 hours"/>
    <x v="0"/>
    <x v="0"/>
    <x v="1"/>
    <m/>
    <n v="1"/>
    <n v="1"/>
  </r>
  <r>
    <s v="Call_7365"/>
    <x v="2"/>
    <n v="132"/>
    <x v="1"/>
    <x v="32"/>
    <n v="43"/>
    <n v="4.5999999999999996"/>
    <n v="2023"/>
    <x v="2"/>
    <s v="More than 2 hours"/>
    <x v="0"/>
    <x v="1"/>
    <x v="0"/>
    <m/>
    <n v="1"/>
    <n v="1"/>
  </r>
  <r>
    <s v="Call_7366"/>
    <x v="10"/>
    <n v="60"/>
    <x v="0"/>
    <x v="33"/>
    <n v="69"/>
    <n v="4.3"/>
    <n v="2023"/>
    <x v="3"/>
    <s v="30 to 60 mins"/>
    <x v="2"/>
    <x v="1"/>
    <x v="0"/>
    <m/>
    <n v="1"/>
    <n v="0"/>
  </r>
  <r>
    <s v="Call_7367"/>
    <x v="12"/>
    <n v="95"/>
    <x v="1"/>
    <x v="33"/>
    <n v="130"/>
    <n v="5"/>
    <n v="2023"/>
    <x v="3"/>
    <s v="1 to 2 hours"/>
    <x v="0"/>
    <x v="0"/>
    <x v="1"/>
    <m/>
    <n v="1"/>
    <n v="1"/>
  </r>
  <r>
    <s v="Call_7368"/>
    <x v="0"/>
    <n v="96"/>
    <x v="4"/>
    <x v="33"/>
    <n v="120"/>
    <n v="4"/>
    <n v="2023"/>
    <x v="3"/>
    <s v="1 to 2 hours"/>
    <x v="2"/>
    <x v="0"/>
    <x v="0"/>
    <m/>
    <n v="1"/>
    <n v="0"/>
  </r>
  <r>
    <s v="Call_7369"/>
    <x v="13"/>
    <n v="45"/>
    <x v="0"/>
    <x v="34"/>
    <n v="84"/>
    <n v="4.5999999999999996"/>
    <n v="2023"/>
    <x v="4"/>
    <s v="30 to 60 mins"/>
    <x v="0"/>
    <x v="1"/>
    <x v="0"/>
    <m/>
    <n v="1"/>
    <n v="1"/>
  </r>
  <r>
    <s v="Call_7370"/>
    <x v="0"/>
    <n v="132"/>
    <x v="4"/>
    <x v="35"/>
    <n v="112"/>
    <n v="4.5"/>
    <n v="2023"/>
    <x v="5"/>
    <s v="More than 2 hours"/>
    <x v="0"/>
    <x v="0"/>
    <x v="0"/>
    <m/>
    <n v="1"/>
    <n v="1"/>
  </r>
  <r>
    <s v="Call_7371"/>
    <x v="7"/>
    <n v="95"/>
    <x v="0"/>
    <x v="35"/>
    <n v="66"/>
    <n v="4.5999999999999996"/>
    <n v="2023"/>
    <x v="5"/>
    <s v="1 to 2 hours"/>
    <x v="0"/>
    <x v="2"/>
    <x v="1"/>
    <m/>
    <n v="1"/>
    <n v="1"/>
  </r>
  <r>
    <s v="Call_7372"/>
    <x v="12"/>
    <n v="131"/>
    <x v="2"/>
    <x v="35"/>
    <n v="172"/>
    <n v="2.6"/>
    <n v="2023"/>
    <x v="5"/>
    <s v="More than 2 hours"/>
    <x v="1"/>
    <x v="0"/>
    <x v="1"/>
    <m/>
    <n v="1"/>
    <n v="0"/>
  </r>
  <r>
    <s v="Call_7373"/>
    <x v="9"/>
    <n v="67"/>
    <x v="3"/>
    <x v="36"/>
    <n v="24"/>
    <n v="4.3"/>
    <n v="2023"/>
    <x v="6"/>
    <s v="1 to 2 hours"/>
    <x v="2"/>
    <x v="1"/>
    <x v="1"/>
    <m/>
    <n v="1"/>
    <n v="0"/>
  </r>
  <r>
    <s v="Call_7374"/>
    <x v="3"/>
    <n v="111"/>
    <x v="2"/>
    <x v="37"/>
    <n v="43"/>
    <n v="3.9"/>
    <n v="2023"/>
    <x v="0"/>
    <s v="1 to 2 hours"/>
    <x v="2"/>
    <x v="1"/>
    <x v="1"/>
    <m/>
    <n v="1"/>
    <n v="0"/>
  </r>
  <r>
    <s v="Call_7375"/>
    <x v="2"/>
    <n v="78"/>
    <x v="1"/>
    <x v="37"/>
    <n v="23"/>
    <n v="5"/>
    <n v="2023"/>
    <x v="0"/>
    <s v="1 to 2 hours"/>
    <x v="0"/>
    <x v="1"/>
    <x v="0"/>
    <m/>
    <n v="1"/>
    <n v="1"/>
  </r>
  <r>
    <s v="Call_7376"/>
    <x v="8"/>
    <n v="28"/>
    <x v="4"/>
    <x v="37"/>
    <n v="74"/>
    <n v="3.5"/>
    <n v="2023"/>
    <x v="0"/>
    <s v="10 to 30 mins"/>
    <x v="2"/>
    <x v="2"/>
    <x v="0"/>
    <m/>
    <n v="1"/>
    <n v="0"/>
  </r>
  <r>
    <s v="Call_7377"/>
    <x v="1"/>
    <n v="127"/>
    <x v="3"/>
    <x v="38"/>
    <n v="165"/>
    <n v="4.7"/>
    <n v="2023"/>
    <x v="1"/>
    <s v="More than 2 hours"/>
    <x v="0"/>
    <x v="0"/>
    <x v="0"/>
    <m/>
    <n v="1"/>
    <n v="1"/>
  </r>
  <r>
    <s v="Call_7378"/>
    <x v="11"/>
    <n v="137"/>
    <x v="2"/>
    <x v="38"/>
    <n v="34"/>
    <n v="2.9"/>
    <n v="2023"/>
    <x v="1"/>
    <s v="More than 2 hours"/>
    <x v="1"/>
    <x v="2"/>
    <x v="1"/>
    <m/>
    <n v="1"/>
    <n v="0"/>
  </r>
  <r>
    <s v="Call_7379"/>
    <x v="1"/>
    <n v="76"/>
    <x v="4"/>
    <x v="38"/>
    <n v="64"/>
    <n v="3.4"/>
    <n v="2023"/>
    <x v="1"/>
    <s v="1 to 2 hours"/>
    <x v="1"/>
    <x v="0"/>
    <x v="0"/>
    <m/>
    <n v="1"/>
    <n v="0"/>
  </r>
  <r>
    <s v="Call_7380"/>
    <x v="2"/>
    <n v="80"/>
    <x v="3"/>
    <x v="39"/>
    <n v="155"/>
    <n v="3.2"/>
    <n v="2023"/>
    <x v="2"/>
    <s v="1 to 2 hours"/>
    <x v="1"/>
    <x v="1"/>
    <x v="0"/>
    <m/>
    <n v="1"/>
    <n v="0"/>
  </r>
  <r>
    <s v="Call_7381"/>
    <x v="1"/>
    <n v="95"/>
    <x v="1"/>
    <x v="40"/>
    <n v="120"/>
    <n v="4.8"/>
    <n v="2023"/>
    <x v="3"/>
    <s v="1 to 2 hours"/>
    <x v="0"/>
    <x v="0"/>
    <x v="0"/>
    <m/>
    <n v="1"/>
    <n v="1"/>
  </r>
  <r>
    <s v="Call_7382"/>
    <x v="10"/>
    <n v="30"/>
    <x v="4"/>
    <x v="40"/>
    <n v="105"/>
    <n v="3.6"/>
    <n v="2023"/>
    <x v="3"/>
    <s v="10 to 30 mins"/>
    <x v="2"/>
    <x v="1"/>
    <x v="0"/>
    <m/>
    <n v="1"/>
    <n v="0"/>
  </r>
  <r>
    <s v="Call_7383"/>
    <x v="4"/>
    <n v="19"/>
    <x v="2"/>
    <x v="40"/>
    <n v="28"/>
    <n v="4.9000000000000004"/>
    <n v="2023"/>
    <x v="3"/>
    <s v="10 to 30 mins"/>
    <x v="0"/>
    <x v="0"/>
    <x v="1"/>
    <m/>
    <n v="1"/>
    <n v="1"/>
  </r>
  <r>
    <s v="Call_7384"/>
    <x v="6"/>
    <n v="38"/>
    <x v="3"/>
    <x v="40"/>
    <n v="100"/>
    <n v="4.8"/>
    <n v="2023"/>
    <x v="3"/>
    <s v="30 to 60 mins"/>
    <x v="0"/>
    <x v="2"/>
    <x v="1"/>
    <m/>
    <n v="1"/>
    <n v="1"/>
  </r>
  <r>
    <s v="Call_7385"/>
    <x v="7"/>
    <n v="55"/>
    <x v="2"/>
    <x v="40"/>
    <n v="23"/>
    <n v="3.6"/>
    <n v="2023"/>
    <x v="3"/>
    <s v="30 to 60 mins"/>
    <x v="2"/>
    <x v="2"/>
    <x v="1"/>
    <m/>
    <n v="1"/>
    <n v="0"/>
  </r>
  <r>
    <s v="Call_7386"/>
    <x v="9"/>
    <n v="27"/>
    <x v="4"/>
    <x v="41"/>
    <n v="70"/>
    <n v="3.9"/>
    <n v="2023"/>
    <x v="4"/>
    <s v="10 to 30 mins"/>
    <x v="2"/>
    <x v="1"/>
    <x v="1"/>
    <m/>
    <n v="1"/>
    <n v="0"/>
  </r>
  <r>
    <s v="Call_7387"/>
    <x v="9"/>
    <n v="32"/>
    <x v="4"/>
    <x v="41"/>
    <n v="37"/>
    <n v="1.9"/>
    <n v="2023"/>
    <x v="4"/>
    <s v="30 to 60 mins"/>
    <x v="3"/>
    <x v="1"/>
    <x v="1"/>
    <m/>
    <n v="1"/>
    <n v="0"/>
  </r>
  <r>
    <s v="Call_7388"/>
    <x v="8"/>
    <n v="116"/>
    <x v="0"/>
    <x v="41"/>
    <n v="140"/>
    <n v="3.6"/>
    <n v="2023"/>
    <x v="4"/>
    <s v="1 to 2 hours"/>
    <x v="2"/>
    <x v="2"/>
    <x v="0"/>
    <m/>
    <n v="1"/>
    <n v="0"/>
  </r>
  <r>
    <s v="Call_7389"/>
    <x v="0"/>
    <n v="99"/>
    <x v="1"/>
    <x v="41"/>
    <n v="78"/>
    <n v="4.0999999999999996"/>
    <n v="2023"/>
    <x v="4"/>
    <s v="1 to 2 hours"/>
    <x v="2"/>
    <x v="0"/>
    <x v="0"/>
    <m/>
    <n v="1"/>
    <n v="0"/>
  </r>
  <r>
    <s v="Call_7390"/>
    <x v="1"/>
    <n v="75"/>
    <x v="4"/>
    <x v="42"/>
    <n v="21"/>
    <n v="4.2"/>
    <n v="2023"/>
    <x v="5"/>
    <s v="1 to 2 hours"/>
    <x v="2"/>
    <x v="0"/>
    <x v="0"/>
    <m/>
    <n v="1"/>
    <n v="0"/>
  </r>
  <r>
    <s v="Call_7391"/>
    <x v="2"/>
    <n v="57"/>
    <x v="0"/>
    <x v="42"/>
    <n v="88"/>
    <n v="4.3"/>
    <n v="2023"/>
    <x v="5"/>
    <s v="30 to 60 mins"/>
    <x v="2"/>
    <x v="1"/>
    <x v="0"/>
    <m/>
    <n v="1"/>
    <n v="0"/>
  </r>
  <r>
    <s v="Call_7392"/>
    <x v="5"/>
    <n v="155"/>
    <x v="0"/>
    <x v="43"/>
    <n v="180"/>
    <n v="2.2000000000000002"/>
    <n v="2023"/>
    <x v="6"/>
    <s v="More than 2 hours"/>
    <x v="3"/>
    <x v="2"/>
    <x v="1"/>
    <m/>
    <n v="1"/>
    <n v="0"/>
  </r>
  <r>
    <s v="Call_7393"/>
    <x v="0"/>
    <n v="68"/>
    <x v="1"/>
    <x v="43"/>
    <n v="22"/>
    <n v="3.3"/>
    <n v="2023"/>
    <x v="6"/>
    <s v="1 to 2 hours"/>
    <x v="1"/>
    <x v="0"/>
    <x v="0"/>
    <m/>
    <n v="1"/>
    <n v="0"/>
  </r>
  <r>
    <s v="Call_7394"/>
    <x v="6"/>
    <n v="95"/>
    <x v="1"/>
    <x v="43"/>
    <n v="52"/>
    <n v="4.8"/>
    <n v="2023"/>
    <x v="6"/>
    <s v="1 to 2 hours"/>
    <x v="0"/>
    <x v="2"/>
    <x v="1"/>
    <m/>
    <n v="1"/>
    <n v="1"/>
  </r>
  <r>
    <s v="Call_7395"/>
    <x v="11"/>
    <n v="65"/>
    <x v="0"/>
    <x v="44"/>
    <n v="80"/>
    <n v="4"/>
    <n v="2023"/>
    <x v="0"/>
    <s v="1 to 2 hours"/>
    <x v="2"/>
    <x v="2"/>
    <x v="1"/>
    <m/>
    <n v="1"/>
    <n v="0"/>
  </r>
  <r>
    <s v="Call_7396"/>
    <x v="4"/>
    <n v="114"/>
    <x v="2"/>
    <x v="44"/>
    <n v="54"/>
    <n v="1.1000000000000001"/>
    <n v="2023"/>
    <x v="0"/>
    <s v="1 to 2 hours"/>
    <x v="5"/>
    <x v="0"/>
    <x v="1"/>
    <m/>
    <n v="1"/>
    <n v="0"/>
  </r>
  <r>
    <s v="Call_7397"/>
    <x v="1"/>
    <n v="155"/>
    <x v="2"/>
    <x v="45"/>
    <n v="80"/>
    <n v="3.9"/>
    <n v="2023"/>
    <x v="1"/>
    <s v="More than 2 hours"/>
    <x v="2"/>
    <x v="0"/>
    <x v="0"/>
    <m/>
    <n v="1"/>
    <n v="0"/>
  </r>
  <r>
    <s v="Call_7398"/>
    <x v="11"/>
    <n v="114"/>
    <x v="0"/>
    <x v="46"/>
    <n v="120"/>
    <n v="1.8"/>
    <n v="2023"/>
    <x v="2"/>
    <s v="1 to 2 hours"/>
    <x v="3"/>
    <x v="2"/>
    <x v="1"/>
    <m/>
    <n v="1"/>
    <n v="0"/>
  </r>
  <r>
    <s v="Call_7399"/>
    <x v="5"/>
    <n v="130"/>
    <x v="3"/>
    <x v="46"/>
    <n v="150"/>
    <n v="1"/>
    <n v="2023"/>
    <x v="2"/>
    <s v="More than 2 hours"/>
    <x v="5"/>
    <x v="2"/>
    <x v="1"/>
    <m/>
    <n v="1"/>
    <n v="0"/>
  </r>
  <r>
    <s v="Call_7400"/>
    <x v="1"/>
    <n v="89"/>
    <x v="0"/>
    <x v="46"/>
    <n v="90"/>
    <n v="4.3"/>
    <n v="2023"/>
    <x v="2"/>
    <s v="1 to 2 hours"/>
    <x v="2"/>
    <x v="0"/>
    <x v="0"/>
    <m/>
    <n v="1"/>
    <n v="0"/>
  </r>
  <r>
    <s v="Call_7401"/>
    <x v="13"/>
    <n v="61"/>
    <x v="4"/>
    <x v="47"/>
    <n v="140"/>
    <n v="3.4"/>
    <n v="2023"/>
    <x v="3"/>
    <s v="1 to 2 hours"/>
    <x v="1"/>
    <x v="1"/>
    <x v="0"/>
    <m/>
    <n v="1"/>
    <n v="0"/>
  </r>
  <r>
    <s v="Call_7402"/>
    <x v="6"/>
    <n v="154"/>
    <x v="2"/>
    <x v="47"/>
    <n v="22"/>
    <n v="3.4"/>
    <n v="2023"/>
    <x v="3"/>
    <s v="More than 2 hours"/>
    <x v="1"/>
    <x v="2"/>
    <x v="1"/>
    <m/>
    <n v="1"/>
    <n v="0"/>
  </r>
  <r>
    <s v="Call_7403"/>
    <x v="11"/>
    <n v="115"/>
    <x v="3"/>
    <x v="48"/>
    <n v="150"/>
    <n v="4.0999999999999996"/>
    <n v="2023"/>
    <x v="4"/>
    <s v="1 to 2 hours"/>
    <x v="2"/>
    <x v="2"/>
    <x v="1"/>
    <m/>
    <n v="1"/>
    <n v="0"/>
  </r>
  <r>
    <s v="Call_7404"/>
    <x v="14"/>
    <n v="138"/>
    <x v="1"/>
    <x v="49"/>
    <n v="35"/>
    <n v="4.8"/>
    <n v="2023"/>
    <x v="5"/>
    <s v="More than 2 hours"/>
    <x v="0"/>
    <x v="2"/>
    <x v="1"/>
    <m/>
    <n v="1"/>
    <n v="1"/>
  </r>
  <r>
    <s v="Call_7405"/>
    <x v="3"/>
    <n v="153"/>
    <x v="0"/>
    <x v="49"/>
    <n v="200"/>
    <n v="2"/>
    <n v="2023"/>
    <x v="5"/>
    <s v="More than 2 hours"/>
    <x v="3"/>
    <x v="1"/>
    <x v="1"/>
    <m/>
    <n v="1"/>
    <n v="0"/>
  </r>
  <r>
    <s v="Call_7406"/>
    <x v="11"/>
    <n v="61"/>
    <x v="4"/>
    <x v="50"/>
    <n v="150"/>
    <n v="4.5999999999999996"/>
    <n v="2023"/>
    <x v="6"/>
    <s v="1 to 2 hours"/>
    <x v="0"/>
    <x v="2"/>
    <x v="1"/>
    <m/>
    <n v="1"/>
    <n v="1"/>
  </r>
  <r>
    <s v="Call_7407"/>
    <x v="9"/>
    <n v="62"/>
    <x v="0"/>
    <x v="50"/>
    <n v="21"/>
    <n v="2.6"/>
    <n v="2023"/>
    <x v="6"/>
    <s v="1 to 2 hours"/>
    <x v="1"/>
    <x v="1"/>
    <x v="1"/>
    <m/>
    <n v="1"/>
    <n v="0"/>
  </r>
  <r>
    <s v="Call_7408"/>
    <x v="13"/>
    <n v="151"/>
    <x v="3"/>
    <x v="51"/>
    <n v="46"/>
    <n v="4.9000000000000004"/>
    <n v="2023"/>
    <x v="0"/>
    <s v="More than 2 hours"/>
    <x v="0"/>
    <x v="1"/>
    <x v="0"/>
    <m/>
    <n v="1"/>
    <n v="1"/>
  </r>
  <r>
    <s v="Call_7409"/>
    <x v="12"/>
    <n v="102"/>
    <x v="2"/>
    <x v="51"/>
    <n v="165"/>
    <n v="2.7"/>
    <n v="2023"/>
    <x v="0"/>
    <s v="1 to 2 hours"/>
    <x v="1"/>
    <x v="0"/>
    <x v="1"/>
    <m/>
    <n v="1"/>
    <n v="0"/>
  </r>
  <r>
    <s v="Call_7410"/>
    <x v="10"/>
    <n v="64"/>
    <x v="0"/>
    <x v="51"/>
    <n v="84"/>
    <n v="4.0999999999999996"/>
    <n v="2023"/>
    <x v="0"/>
    <s v="1 to 2 hours"/>
    <x v="2"/>
    <x v="1"/>
    <x v="0"/>
    <m/>
    <n v="1"/>
    <n v="0"/>
  </r>
  <r>
    <s v="Call_7411"/>
    <x v="1"/>
    <n v="6"/>
    <x v="2"/>
    <x v="52"/>
    <n v="102"/>
    <n v="4.4000000000000004"/>
    <n v="2023"/>
    <x v="1"/>
    <s v="Under 10 mins"/>
    <x v="2"/>
    <x v="0"/>
    <x v="0"/>
    <m/>
    <n v="1"/>
    <n v="0"/>
  </r>
  <r>
    <s v="Call_7412"/>
    <x v="10"/>
    <n v="129"/>
    <x v="0"/>
    <x v="52"/>
    <n v="180"/>
    <n v="4.8"/>
    <n v="2023"/>
    <x v="1"/>
    <s v="More than 2 hours"/>
    <x v="0"/>
    <x v="1"/>
    <x v="0"/>
    <m/>
    <n v="1"/>
    <n v="1"/>
  </r>
  <r>
    <s v="Call_7413"/>
    <x v="9"/>
    <n v="42"/>
    <x v="3"/>
    <x v="53"/>
    <n v="111"/>
    <n v="3"/>
    <n v="2023"/>
    <x v="2"/>
    <s v="30 to 60 mins"/>
    <x v="1"/>
    <x v="1"/>
    <x v="1"/>
    <m/>
    <n v="1"/>
    <n v="0"/>
  </r>
  <r>
    <s v="Call_7414"/>
    <x v="9"/>
    <n v="71"/>
    <x v="4"/>
    <x v="53"/>
    <n v="104"/>
    <n v="3.1"/>
    <n v="2023"/>
    <x v="2"/>
    <s v="1 to 2 hours"/>
    <x v="1"/>
    <x v="1"/>
    <x v="1"/>
    <m/>
    <n v="1"/>
    <n v="0"/>
  </r>
  <r>
    <s v="Call_7415"/>
    <x v="2"/>
    <n v="53"/>
    <x v="2"/>
    <x v="53"/>
    <n v="80"/>
    <n v="2.6"/>
    <n v="2023"/>
    <x v="2"/>
    <s v="30 to 60 mins"/>
    <x v="1"/>
    <x v="1"/>
    <x v="0"/>
    <m/>
    <n v="1"/>
    <n v="0"/>
  </r>
  <r>
    <s v="Call_7416"/>
    <x v="4"/>
    <n v="155"/>
    <x v="4"/>
    <x v="54"/>
    <n v="132"/>
    <n v="4.5999999999999996"/>
    <n v="2023"/>
    <x v="3"/>
    <s v="More than 2 hours"/>
    <x v="0"/>
    <x v="0"/>
    <x v="1"/>
    <m/>
    <n v="1"/>
    <n v="1"/>
  </r>
  <r>
    <s v="Call_7417"/>
    <x v="4"/>
    <n v="90"/>
    <x v="3"/>
    <x v="54"/>
    <n v="170"/>
    <n v="3.7"/>
    <n v="2023"/>
    <x v="3"/>
    <s v="1 to 2 hours"/>
    <x v="2"/>
    <x v="0"/>
    <x v="1"/>
    <m/>
    <n v="1"/>
    <n v="0"/>
  </r>
  <r>
    <s v="Call_7418"/>
    <x v="10"/>
    <n v="166"/>
    <x v="1"/>
    <x v="54"/>
    <n v="36"/>
    <n v="3.8"/>
    <n v="2023"/>
    <x v="3"/>
    <s v="More than 2 hours"/>
    <x v="2"/>
    <x v="1"/>
    <x v="0"/>
    <m/>
    <n v="1"/>
    <n v="0"/>
  </r>
  <r>
    <s v="Call_7419"/>
    <x v="8"/>
    <n v="89"/>
    <x v="4"/>
    <x v="54"/>
    <n v="126"/>
    <n v="3.6"/>
    <n v="2023"/>
    <x v="3"/>
    <s v="1 to 2 hours"/>
    <x v="2"/>
    <x v="2"/>
    <x v="0"/>
    <m/>
    <n v="1"/>
    <n v="0"/>
  </r>
  <r>
    <s v="Call_7420"/>
    <x v="11"/>
    <n v="152"/>
    <x v="2"/>
    <x v="54"/>
    <n v="215"/>
    <n v="4.4000000000000004"/>
    <n v="2023"/>
    <x v="3"/>
    <s v="More than 2 hours"/>
    <x v="2"/>
    <x v="2"/>
    <x v="1"/>
    <m/>
    <n v="1"/>
    <n v="0"/>
  </r>
  <r>
    <s v="Call_7421"/>
    <x v="8"/>
    <n v="137"/>
    <x v="3"/>
    <x v="54"/>
    <n v="114"/>
    <n v="3.2"/>
    <n v="2023"/>
    <x v="3"/>
    <s v="More than 2 hours"/>
    <x v="1"/>
    <x v="2"/>
    <x v="0"/>
    <m/>
    <n v="1"/>
    <n v="0"/>
  </r>
  <r>
    <s v="Call_7422"/>
    <x v="8"/>
    <n v="43"/>
    <x v="3"/>
    <x v="54"/>
    <n v="99"/>
    <n v="4.7"/>
    <n v="2023"/>
    <x v="3"/>
    <s v="30 to 60 mins"/>
    <x v="0"/>
    <x v="2"/>
    <x v="0"/>
    <m/>
    <n v="1"/>
    <n v="1"/>
  </r>
  <r>
    <s v="Call_7423"/>
    <x v="6"/>
    <n v="114"/>
    <x v="3"/>
    <x v="55"/>
    <n v="23"/>
    <n v="4.8"/>
    <n v="2023"/>
    <x v="4"/>
    <s v="1 to 2 hours"/>
    <x v="0"/>
    <x v="2"/>
    <x v="1"/>
    <m/>
    <n v="1"/>
    <n v="1"/>
  </r>
  <r>
    <s v="Call_7424"/>
    <x v="3"/>
    <n v="103"/>
    <x v="4"/>
    <x v="55"/>
    <n v="75"/>
    <n v="2.7"/>
    <n v="2023"/>
    <x v="4"/>
    <s v="1 to 2 hours"/>
    <x v="1"/>
    <x v="1"/>
    <x v="1"/>
    <m/>
    <n v="1"/>
    <n v="0"/>
  </r>
  <r>
    <s v="Call_7425"/>
    <x v="8"/>
    <n v="98"/>
    <x v="2"/>
    <x v="55"/>
    <n v="100"/>
    <n v="3.8"/>
    <n v="2023"/>
    <x v="4"/>
    <s v="1 to 2 hours"/>
    <x v="2"/>
    <x v="2"/>
    <x v="0"/>
    <m/>
    <n v="1"/>
    <n v="0"/>
  </r>
  <r>
    <s v="Call_7426"/>
    <x v="10"/>
    <n v="106"/>
    <x v="1"/>
    <x v="55"/>
    <n v="108"/>
    <n v="4.3"/>
    <n v="2023"/>
    <x v="4"/>
    <s v="1 to 2 hours"/>
    <x v="2"/>
    <x v="1"/>
    <x v="0"/>
    <m/>
    <n v="1"/>
    <n v="0"/>
  </r>
  <r>
    <s v="Call_7427"/>
    <x v="1"/>
    <n v="96"/>
    <x v="1"/>
    <x v="55"/>
    <n v="108"/>
    <n v="5"/>
    <n v="2023"/>
    <x v="4"/>
    <s v="1 to 2 hours"/>
    <x v="0"/>
    <x v="0"/>
    <x v="0"/>
    <m/>
    <n v="1"/>
    <n v="1"/>
  </r>
  <r>
    <s v="Call_7428"/>
    <x v="3"/>
    <n v="70"/>
    <x v="1"/>
    <x v="55"/>
    <n v="28"/>
    <n v="4.8"/>
    <n v="2023"/>
    <x v="4"/>
    <s v="1 to 2 hours"/>
    <x v="0"/>
    <x v="1"/>
    <x v="1"/>
    <m/>
    <n v="1"/>
    <n v="1"/>
  </r>
  <r>
    <s v="Call_7429"/>
    <x v="9"/>
    <n v="86"/>
    <x v="0"/>
    <x v="56"/>
    <n v="70"/>
    <n v="4.9000000000000004"/>
    <n v="2023"/>
    <x v="5"/>
    <s v="1 to 2 hours"/>
    <x v="0"/>
    <x v="1"/>
    <x v="1"/>
    <m/>
    <n v="1"/>
    <n v="1"/>
  </r>
  <r>
    <s v="Call_7430"/>
    <x v="2"/>
    <n v="64"/>
    <x v="0"/>
    <x v="56"/>
    <n v="172"/>
    <n v="4.0999999999999996"/>
    <n v="2023"/>
    <x v="5"/>
    <s v="1 to 2 hours"/>
    <x v="2"/>
    <x v="1"/>
    <x v="0"/>
    <m/>
    <n v="1"/>
    <n v="0"/>
  </r>
  <r>
    <s v="Call_7431"/>
    <x v="1"/>
    <n v="113"/>
    <x v="2"/>
    <x v="56"/>
    <n v="123"/>
    <n v="4.4000000000000004"/>
    <n v="2023"/>
    <x v="5"/>
    <s v="1 to 2 hours"/>
    <x v="2"/>
    <x v="0"/>
    <x v="0"/>
    <m/>
    <n v="1"/>
    <n v="0"/>
  </r>
  <r>
    <s v="Call_7432"/>
    <x v="1"/>
    <n v="21"/>
    <x v="1"/>
    <x v="56"/>
    <n v="93"/>
    <n v="3.4"/>
    <n v="2023"/>
    <x v="5"/>
    <s v="10 to 30 mins"/>
    <x v="1"/>
    <x v="0"/>
    <x v="0"/>
    <m/>
    <n v="1"/>
    <n v="0"/>
  </r>
  <r>
    <s v="Call_7433"/>
    <x v="12"/>
    <n v="107"/>
    <x v="0"/>
    <x v="56"/>
    <n v="66"/>
    <n v="4"/>
    <n v="2023"/>
    <x v="5"/>
    <s v="1 to 2 hours"/>
    <x v="2"/>
    <x v="0"/>
    <x v="1"/>
    <m/>
    <n v="1"/>
    <n v="0"/>
  </r>
  <r>
    <s v="Call_7434"/>
    <x v="12"/>
    <n v="131"/>
    <x v="1"/>
    <x v="56"/>
    <n v="39"/>
    <n v="2.4"/>
    <n v="2023"/>
    <x v="5"/>
    <s v="More than 2 hours"/>
    <x v="3"/>
    <x v="0"/>
    <x v="1"/>
    <m/>
    <n v="1"/>
    <n v="0"/>
  </r>
  <r>
    <s v="Call_7435"/>
    <x v="0"/>
    <n v="11"/>
    <x v="4"/>
    <x v="56"/>
    <n v="25"/>
    <n v="2.1"/>
    <n v="2023"/>
    <x v="5"/>
    <s v="10 to 30 mins"/>
    <x v="3"/>
    <x v="0"/>
    <x v="0"/>
    <m/>
    <n v="1"/>
    <n v="0"/>
  </r>
  <r>
    <s v="Call_7436"/>
    <x v="13"/>
    <n v="86"/>
    <x v="2"/>
    <x v="56"/>
    <n v="68"/>
    <n v="3"/>
    <n v="2023"/>
    <x v="5"/>
    <s v="1 to 2 hours"/>
    <x v="1"/>
    <x v="1"/>
    <x v="0"/>
    <m/>
    <n v="1"/>
    <n v="0"/>
  </r>
  <r>
    <s v="Call_7437"/>
    <x v="2"/>
    <n v="28"/>
    <x v="4"/>
    <x v="56"/>
    <n v="84"/>
    <n v="3.2"/>
    <n v="2023"/>
    <x v="5"/>
    <s v="10 to 30 mins"/>
    <x v="1"/>
    <x v="1"/>
    <x v="0"/>
    <m/>
    <n v="1"/>
    <n v="0"/>
  </r>
  <r>
    <s v="Call_7438"/>
    <x v="4"/>
    <n v="139"/>
    <x v="1"/>
    <x v="57"/>
    <n v="88"/>
    <n v="3.4"/>
    <n v="2023"/>
    <x v="6"/>
    <s v="More than 2 hours"/>
    <x v="1"/>
    <x v="0"/>
    <x v="1"/>
    <m/>
    <n v="1"/>
    <n v="0"/>
  </r>
  <r>
    <s v="Call_7439"/>
    <x v="10"/>
    <n v="82"/>
    <x v="2"/>
    <x v="57"/>
    <n v="93"/>
    <n v="2.7"/>
    <n v="2023"/>
    <x v="6"/>
    <s v="1 to 2 hours"/>
    <x v="1"/>
    <x v="1"/>
    <x v="0"/>
    <m/>
    <n v="1"/>
    <n v="0"/>
  </r>
  <r>
    <s v="Call_7440"/>
    <x v="1"/>
    <n v="101"/>
    <x v="4"/>
    <x v="57"/>
    <n v="128"/>
    <n v="5"/>
    <n v="2023"/>
    <x v="6"/>
    <s v="1 to 2 hours"/>
    <x v="0"/>
    <x v="0"/>
    <x v="0"/>
    <m/>
    <n v="1"/>
    <n v="1"/>
  </r>
  <r>
    <s v="Call_7441"/>
    <x v="2"/>
    <n v="75"/>
    <x v="3"/>
    <x v="57"/>
    <n v="40"/>
    <n v="3.4"/>
    <n v="2023"/>
    <x v="6"/>
    <s v="1 to 2 hours"/>
    <x v="1"/>
    <x v="1"/>
    <x v="0"/>
    <m/>
    <n v="1"/>
    <n v="0"/>
  </r>
  <r>
    <s v="Call_7442"/>
    <x v="6"/>
    <n v="40"/>
    <x v="4"/>
    <x v="58"/>
    <n v="92"/>
    <n v="4.7"/>
    <n v="2023"/>
    <x v="0"/>
    <s v="30 to 60 mins"/>
    <x v="0"/>
    <x v="2"/>
    <x v="1"/>
    <m/>
    <n v="1"/>
    <n v="1"/>
  </r>
  <r>
    <s v="Call_7443"/>
    <x v="8"/>
    <n v="86"/>
    <x v="1"/>
    <x v="58"/>
    <n v="27"/>
    <n v="4.5"/>
    <n v="2023"/>
    <x v="0"/>
    <s v="1 to 2 hours"/>
    <x v="0"/>
    <x v="2"/>
    <x v="0"/>
    <m/>
    <n v="1"/>
    <n v="1"/>
  </r>
  <r>
    <s v="Call_7444"/>
    <x v="5"/>
    <n v="131"/>
    <x v="0"/>
    <x v="58"/>
    <n v="140"/>
    <n v="4.0999999999999996"/>
    <n v="2023"/>
    <x v="0"/>
    <s v="More than 2 hours"/>
    <x v="2"/>
    <x v="2"/>
    <x v="1"/>
    <m/>
    <n v="1"/>
    <n v="0"/>
  </r>
  <r>
    <s v="Call_7445"/>
    <x v="12"/>
    <n v="67"/>
    <x v="2"/>
    <x v="58"/>
    <n v="40"/>
    <n v="5"/>
    <n v="2023"/>
    <x v="0"/>
    <s v="1 to 2 hours"/>
    <x v="0"/>
    <x v="0"/>
    <x v="1"/>
    <m/>
    <n v="1"/>
    <n v="1"/>
  </r>
  <r>
    <s v="Call_7446"/>
    <x v="14"/>
    <n v="71"/>
    <x v="4"/>
    <x v="58"/>
    <n v="102"/>
    <n v="4.7"/>
    <n v="2023"/>
    <x v="0"/>
    <s v="1 to 2 hours"/>
    <x v="0"/>
    <x v="2"/>
    <x v="1"/>
    <m/>
    <n v="1"/>
    <n v="1"/>
  </r>
  <r>
    <s v="Call_7447"/>
    <x v="5"/>
    <n v="113"/>
    <x v="0"/>
    <x v="58"/>
    <n v="42"/>
    <n v="4.2"/>
    <n v="2023"/>
    <x v="0"/>
    <s v="1 to 2 hours"/>
    <x v="2"/>
    <x v="2"/>
    <x v="1"/>
    <m/>
    <n v="1"/>
    <n v="0"/>
  </r>
  <r>
    <s v="Call_7448"/>
    <x v="10"/>
    <n v="53"/>
    <x v="1"/>
    <x v="59"/>
    <n v="210"/>
    <n v="3.9"/>
    <n v="2023"/>
    <x v="1"/>
    <s v="30 to 60 mins"/>
    <x v="2"/>
    <x v="1"/>
    <x v="0"/>
    <m/>
    <n v="1"/>
    <n v="0"/>
  </r>
  <r>
    <s v="Call_7449"/>
    <x v="5"/>
    <n v="153"/>
    <x v="2"/>
    <x v="59"/>
    <n v="34"/>
    <n v="3"/>
    <n v="2023"/>
    <x v="1"/>
    <s v="More than 2 hours"/>
    <x v="1"/>
    <x v="2"/>
    <x v="1"/>
    <m/>
    <n v="1"/>
    <n v="0"/>
  </r>
  <r>
    <s v="Call_7450"/>
    <x v="12"/>
    <n v="73"/>
    <x v="3"/>
    <x v="59"/>
    <n v="215"/>
    <n v="3.6"/>
    <n v="2023"/>
    <x v="1"/>
    <s v="1 to 2 hours"/>
    <x v="2"/>
    <x v="0"/>
    <x v="1"/>
    <m/>
    <n v="1"/>
    <n v="0"/>
  </r>
  <r>
    <s v="Call_7451"/>
    <x v="9"/>
    <n v="62"/>
    <x v="3"/>
    <x v="59"/>
    <n v="32"/>
    <n v="0.7"/>
    <n v="2023"/>
    <x v="1"/>
    <s v="1 to 2 hours"/>
    <x v="5"/>
    <x v="1"/>
    <x v="1"/>
    <m/>
    <n v="1"/>
    <n v="0"/>
  </r>
  <r>
    <s v="Call_7452"/>
    <x v="4"/>
    <n v="115"/>
    <x v="1"/>
    <x v="60"/>
    <n v="48"/>
    <n v="4.7"/>
    <n v="2023"/>
    <x v="2"/>
    <s v="1 to 2 hours"/>
    <x v="0"/>
    <x v="0"/>
    <x v="1"/>
    <m/>
    <n v="1"/>
    <n v="1"/>
  </r>
  <r>
    <s v="Call_7453"/>
    <x v="5"/>
    <n v="69"/>
    <x v="1"/>
    <x v="60"/>
    <n v="132"/>
    <n v="4.5"/>
    <n v="2023"/>
    <x v="2"/>
    <s v="1 to 2 hours"/>
    <x v="0"/>
    <x v="2"/>
    <x v="1"/>
    <m/>
    <n v="1"/>
    <n v="1"/>
  </r>
  <r>
    <s v="Call_7454"/>
    <x v="8"/>
    <n v="103"/>
    <x v="0"/>
    <x v="60"/>
    <n v="172"/>
    <n v="4.3"/>
    <n v="2023"/>
    <x v="2"/>
    <s v="1 to 2 hours"/>
    <x v="2"/>
    <x v="2"/>
    <x v="0"/>
    <m/>
    <n v="1"/>
    <n v="0"/>
  </r>
  <r>
    <s v="Call_7455"/>
    <x v="8"/>
    <n v="75"/>
    <x v="0"/>
    <x v="60"/>
    <n v="111"/>
    <n v="3.4"/>
    <n v="2023"/>
    <x v="2"/>
    <s v="1 to 2 hours"/>
    <x v="1"/>
    <x v="2"/>
    <x v="0"/>
    <m/>
    <n v="1"/>
    <n v="0"/>
  </r>
  <r>
    <s v="Call_7456"/>
    <x v="7"/>
    <n v="92"/>
    <x v="0"/>
    <x v="60"/>
    <n v="58"/>
    <n v="3.6"/>
    <n v="2023"/>
    <x v="2"/>
    <s v="1 to 2 hours"/>
    <x v="2"/>
    <x v="2"/>
    <x v="1"/>
    <m/>
    <n v="1"/>
    <n v="0"/>
  </r>
  <r>
    <s v="Call_7457"/>
    <x v="7"/>
    <n v="41"/>
    <x v="3"/>
    <x v="60"/>
    <n v="68"/>
    <n v="4"/>
    <n v="2023"/>
    <x v="2"/>
    <s v="30 to 60 mins"/>
    <x v="2"/>
    <x v="2"/>
    <x v="1"/>
    <m/>
    <n v="1"/>
    <n v="0"/>
  </r>
  <r>
    <s v="Call_7458"/>
    <x v="8"/>
    <n v="134"/>
    <x v="2"/>
    <x v="60"/>
    <n v="160"/>
    <n v="4.5"/>
    <n v="2023"/>
    <x v="2"/>
    <s v="More than 2 hours"/>
    <x v="0"/>
    <x v="2"/>
    <x v="0"/>
    <m/>
    <n v="1"/>
    <n v="1"/>
  </r>
  <r>
    <s v="Call_7459"/>
    <x v="13"/>
    <n v="80"/>
    <x v="4"/>
    <x v="60"/>
    <n v="45"/>
    <n v="3"/>
    <n v="2023"/>
    <x v="2"/>
    <s v="1 to 2 hours"/>
    <x v="1"/>
    <x v="1"/>
    <x v="0"/>
    <m/>
    <n v="1"/>
    <n v="0"/>
  </r>
  <r>
    <s v="Call_7460"/>
    <x v="14"/>
    <n v="103"/>
    <x v="1"/>
    <x v="61"/>
    <n v="117"/>
    <n v="3"/>
    <n v="2023"/>
    <x v="3"/>
    <s v="1 to 2 hours"/>
    <x v="1"/>
    <x v="2"/>
    <x v="1"/>
    <m/>
    <n v="1"/>
    <n v="0"/>
  </r>
  <r>
    <s v="Call_7461"/>
    <x v="10"/>
    <n v="20"/>
    <x v="0"/>
    <x v="62"/>
    <n v="22"/>
    <n v="1.6"/>
    <n v="2023"/>
    <x v="4"/>
    <s v="10 to 30 mins"/>
    <x v="3"/>
    <x v="1"/>
    <x v="0"/>
    <m/>
    <n v="1"/>
    <n v="0"/>
  </r>
  <r>
    <s v="Call_7462"/>
    <x v="14"/>
    <n v="75"/>
    <x v="4"/>
    <x v="62"/>
    <n v="195"/>
    <n v="3"/>
    <n v="2023"/>
    <x v="4"/>
    <s v="1 to 2 hours"/>
    <x v="1"/>
    <x v="2"/>
    <x v="1"/>
    <m/>
    <n v="1"/>
    <n v="0"/>
  </r>
  <r>
    <s v="Call_7463"/>
    <x v="7"/>
    <n v="80"/>
    <x v="2"/>
    <x v="62"/>
    <n v="168"/>
    <n v="3.7"/>
    <n v="2023"/>
    <x v="4"/>
    <s v="1 to 2 hours"/>
    <x v="2"/>
    <x v="2"/>
    <x v="1"/>
    <m/>
    <n v="1"/>
    <n v="0"/>
  </r>
  <r>
    <s v="Call_7464"/>
    <x v="5"/>
    <n v="85"/>
    <x v="3"/>
    <x v="63"/>
    <n v="46"/>
    <n v="4.9000000000000004"/>
    <n v="2023"/>
    <x v="5"/>
    <s v="1 to 2 hours"/>
    <x v="0"/>
    <x v="2"/>
    <x v="1"/>
    <m/>
    <n v="1"/>
    <n v="1"/>
  </r>
  <r>
    <s v="Call_7465"/>
    <x v="1"/>
    <n v="155"/>
    <x v="0"/>
    <x v="63"/>
    <n v="164"/>
    <n v="3.4"/>
    <n v="2023"/>
    <x v="5"/>
    <s v="More than 2 hours"/>
    <x v="1"/>
    <x v="0"/>
    <x v="0"/>
    <m/>
    <n v="1"/>
    <n v="0"/>
  </r>
  <r>
    <s v="Call_7466"/>
    <x v="5"/>
    <n v="63"/>
    <x v="3"/>
    <x v="63"/>
    <n v="48"/>
    <n v="5"/>
    <n v="2023"/>
    <x v="5"/>
    <s v="1 to 2 hours"/>
    <x v="0"/>
    <x v="2"/>
    <x v="1"/>
    <m/>
    <n v="1"/>
    <n v="1"/>
  </r>
  <r>
    <s v="Call_7467"/>
    <x v="2"/>
    <n v="105"/>
    <x v="1"/>
    <x v="63"/>
    <n v="96"/>
    <n v="5"/>
    <n v="2023"/>
    <x v="5"/>
    <s v="1 to 2 hours"/>
    <x v="0"/>
    <x v="1"/>
    <x v="0"/>
    <m/>
    <n v="1"/>
    <n v="1"/>
  </r>
  <r>
    <s v="Call_7468"/>
    <x v="5"/>
    <n v="71"/>
    <x v="3"/>
    <x v="63"/>
    <n v="105"/>
    <n v="4"/>
    <n v="2023"/>
    <x v="5"/>
    <s v="1 to 2 hours"/>
    <x v="2"/>
    <x v="2"/>
    <x v="1"/>
    <m/>
    <n v="1"/>
    <n v="0"/>
  </r>
  <r>
    <s v="Call_7469"/>
    <x v="1"/>
    <n v="100"/>
    <x v="3"/>
    <x v="64"/>
    <n v="44"/>
    <n v="3.6"/>
    <n v="2023"/>
    <x v="6"/>
    <s v="1 to 2 hours"/>
    <x v="2"/>
    <x v="0"/>
    <x v="0"/>
    <m/>
    <n v="1"/>
    <n v="0"/>
  </r>
  <r>
    <s v="Call_7470"/>
    <x v="0"/>
    <n v="93"/>
    <x v="2"/>
    <x v="64"/>
    <n v="132"/>
    <n v="3.7"/>
    <n v="2023"/>
    <x v="6"/>
    <s v="1 to 2 hours"/>
    <x v="2"/>
    <x v="0"/>
    <x v="0"/>
    <m/>
    <n v="1"/>
    <n v="0"/>
  </r>
  <r>
    <s v="Call_7471"/>
    <x v="2"/>
    <n v="84"/>
    <x v="0"/>
    <x v="64"/>
    <n v="54"/>
    <n v="4.2"/>
    <n v="2023"/>
    <x v="6"/>
    <s v="1 to 2 hours"/>
    <x v="2"/>
    <x v="1"/>
    <x v="0"/>
    <m/>
    <n v="1"/>
    <n v="0"/>
  </r>
  <r>
    <s v="Call_7472"/>
    <x v="13"/>
    <n v="56"/>
    <x v="4"/>
    <x v="64"/>
    <n v="129"/>
    <n v="2.1"/>
    <n v="2023"/>
    <x v="6"/>
    <s v="30 to 60 mins"/>
    <x v="3"/>
    <x v="1"/>
    <x v="0"/>
    <m/>
    <n v="1"/>
    <n v="0"/>
  </r>
  <r>
    <s v="Call_7473"/>
    <x v="13"/>
    <n v="63"/>
    <x v="3"/>
    <x v="64"/>
    <n v="42"/>
    <n v="4"/>
    <n v="2023"/>
    <x v="6"/>
    <s v="1 to 2 hours"/>
    <x v="2"/>
    <x v="1"/>
    <x v="0"/>
    <m/>
    <n v="1"/>
    <n v="0"/>
  </r>
  <r>
    <s v="Call_7474"/>
    <x v="9"/>
    <n v="83"/>
    <x v="3"/>
    <x v="64"/>
    <n v="42"/>
    <n v="4.2"/>
    <n v="2023"/>
    <x v="6"/>
    <s v="1 to 2 hours"/>
    <x v="2"/>
    <x v="1"/>
    <x v="1"/>
    <m/>
    <n v="1"/>
    <n v="0"/>
  </r>
  <r>
    <s v="Call_7475"/>
    <x v="7"/>
    <n v="134"/>
    <x v="0"/>
    <x v="64"/>
    <n v="180"/>
    <n v="3.1"/>
    <n v="2023"/>
    <x v="6"/>
    <s v="More than 2 hours"/>
    <x v="1"/>
    <x v="2"/>
    <x v="1"/>
    <m/>
    <n v="1"/>
    <n v="0"/>
  </r>
  <r>
    <s v="Call_7476"/>
    <x v="4"/>
    <n v="73"/>
    <x v="3"/>
    <x v="65"/>
    <n v="34"/>
    <n v="4.8"/>
    <n v="2023"/>
    <x v="0"/>
    <s v="1 to 2 hours"/>
    <x v="0"/>
    <x v="0"/>
    <x v="1"/>
    <m/>
    <n v="1"/>
    <n v="1"/>
  </r>
  <r>
    <s v="Call_7477"/>
    <x v="14"/>
    <n v="6"/>
    <x v="4"/>
    <x v="65"/>
    <n v="29"/>
    <n v="4.7"/>
    <n v="2023"/>
    <x v="0"/>
    <s v="Under 10 mins"/>
    <x v="0"/>
    <x v="2"/>
    <x v="1"/>
    <m/>
    <n v="1"/>
    <n v="1"/>
  </r>
  <r>
    <s v="Call_7478"/>
    <x v="12"/>
    <n v="46"/>
    <x v="1"/>
    <x v="65"/>
    <n v="165"/>
    <n v="3.3"/>
    <n v="2023"/>
    <x v="0"/>
    <s v="30 to 60 mins"/>
    <x v="1"/>
    <x v="0"/>
    <x v="1"/>
    <m/>
    <n v="1"/>
    <n v="0"/>
  </r>
  <r>
    <s v="Call_7479"/>
    <x v="14"/>
    <n v="121"/>
    <x v="3"/>
    <x v="66"/>
    <n v="32"/>
    <n v="3.7"/>
    <n v="2023"/>
    <x v="1"/>
    <s v="More than 2 hours"/>
    <x v="2"/>
    <x v="2"/>
    <x v="1"/>
    <m/>
    <n v="1"/>
    <n v="0"/>
  </r>
  <r>
    <s v="Call_7480"/>
    <x v="13"/>
    <n v="61"/>
    <x v="2"/>
    <x v="66"/>
    <n v="160"/>
    <n v="4.9000000000000004"/>
    <n v="2023"/>
    <x v="1"/>
    <s v="1 to 2 hours"/>
    <x v="0"/>
    <x v="1"/>
    <x v="0"/>
    <m/>
    <n v="1"/>
    <n v="1"/>
  </r>
  <r>
    <s v="Call_7481"/>
    <x v="7"/>
    <n v="144"/>
    <x v="0"/>
    <x v="66"/>
    <n v="140"/>
    <n v="3.5"/>
    <n v="2023"/>
    <x v="1"/>
    <s v="More than 2 hours"/>
    <x v="2"/>
    <x v="2"/>
    <x v="1"/>
    <m/>
    <n v="1"/>
    <n v="0"/>
  </r>
  <r>
    <s v="Call_7482"/>
    <x v="12"/>
    <n v="145"/>
    <x v="0"/>
    <x v="66"/>
    <n v="136"/>
    <n v="4.4000000000000004"/>
    <n v="2023"/>
    <x v="1"/>
    <s v="More than 2 hours"/>
    <x v="2"/>
    <x v="0"/>
    <x v="1"/>
    <m/>
    <n v="1"/>
    <n v="0"/>
  </r>
  <r>
    <s v="Call_7483"/>
    <x v="2"/>
    <n v="85"/>
    <x v="4"/>
    <x v="66"/>
    <n v="66"/>
    <n v="2.8"/>
    <n v="2023"/>
    <x v="1"/>
    <s v="1 to 2 hours"/>
    <x v="1"/>
    <x v="1"/>
    <x v="0"/>
    <m/>
    <n v="1"/>
    <n v="0"/>
  </r>
  <r>
    <s v="Call_7484"/>
    <x v="12"/>
    <n v="13"/>
    <x v="2"/>
    <x v="67"/>
    <n v="63"/>
    <n v="4.0999999999999996"/>
    <n v="2023"/>
    <x v="2"/>
    <s v="10 to 30 mins"/>
    <x v="2"/>
    <x v="0"/>
    <x v="1"/>
    <m/>
    <n v="1"/>
    <n v="0"/>
  </r>
  <r>
    <s v="Call_7485"/>
    <x v="0"/>
    <n v="142"/>
    <x v="3"/>
    <x v="67"/>
    <n v="44"/>
    <n v="3.5"/>
    <n v="2023"/>
    <x v="2"/>
    <s v="More than 2 hours"/>
    <x v="2"/>
    <x v="0"/>
    <x v="0"/>
    <m/>
    <n v="1"/>
    <n v="0"/>
  </r>
  <r>
    <s v="Call_7486"/>
    <x v="7"/>
    <n v="28"/>
    <x v="1"/>
    <x v="67"/>
    <n v="78"/>
    <n v="3.8"/>
    <n v="2023"/>
    <x v="2"/>
    <s v="10 to 30 mins"/>
    <x v="2"/>
    <x v="2"/>
    <x v="1"/>
    <m/>
    <n v="1"/>
    <n v="0"/>
  </r>
  <r>
    <s v="Call_7487"/>
    <x v="7"/>
    <n v="119"/>
    <x v="3"/>
    <x v="67"/>
    <n v="20"/>
    <n v="3.9"/>
    <n v="2023"/>
    <x v="2"/>
    <s v="1 to 2 hours"/>
    <x v="2"/>
    <x v="2"/>
    <x v="1"/>
    <m/>
    <n v="1"/>
    <n v="0"/>
  </r>
  <r>
    <s v="Call_7488"/>
    <x v="14"/>
    <n v="65"/>
    <x v="4"/>
    <x v="67"/>
    <n v="84"/>
    <n v="2.5"/>
    <n v="2023"/>
    <x v="2"/>
    <s v="1 to 2 hours"/>
    <x v="1"/>
    <x v="2"/>
    <x v="1"/>
    <m/>
    <n v="1"/>
    <n v="0"/>
  </r>
  <r>
    <s v="Call_7489"/>
    <x v="8"/>
    <n v="68"/>
    <x v="4"/>
    <x v="67"/>
    <n v="32"/>
    <n v="4.9000000000000004"/>
    <n v="2023"/>
    <x v="2"/>
    <s v="1 to 2 hours"/>
    <x v="0"/>
    <x v="2"/>
    <x v="0"/>
    <m/>
    <n v="1"/>
    <n v="1"/>
  </r>
  <r>
    <s v="Call_7490"/>
    <x v="9"/>
    <n v="72"/>
    <x v="1"/>
    <x v="67"/>
    <n v="132"/>
    <n v="3.4"/>
    <n v="2023"/>
    <x v="2"/>
    <s v="1 to 2 hours"/>
    <x v="1"/>
    <x v="1"/>
    <x v="1"/>
    <m/>
    <n v="1"/>
    <n v="0"/>
  </r>
  <r>
    <s v="Call_7491"/>
    <x v="9"/>
    <n v="63"/>
    <x v="0"/>
    <x v="67"/>
    <n v="105"/>
    <n v="3.3"/>
    <n v="2023"/>
    <x v="2"/>
    <s v="1 to 2 hours"/>
    <x v="1"/>
    <x v="1"/>
    <x v="1"/>
    <m/>
    <n v="1"/>
    <n v="0"/>
  </r>
  <r>
    <s v="Call_7492"/>
    <x v="1"/>
    <n v="139"/>
    <x v="3"/>
    <x v="68"/>
    <n v="48"/>
    <n v="4.7"/>
    <n v="2023"/>
    <x v="3"/>
    <s v="More than 2 hours"/>
    <x v="0"/>
    <x v="0"/>
    <x v="0"/>
    <m/>
    <n v="1"/>
    <n v="1"/>
  </r>
  <r>
    <s v="Call_7493"/>
    <x v="7"/>
    <n v="59"/>
    <x v="3"/>
    <x v="68"/>
    <n v="64"/>
    <n v="4"/>
    <n v="2023"/>
    <x v="3"/>
    <s v="30 to 60 mins"/>
    <x v="2"/>
    <x v="2"/>
    <x v="1"/>
    <m/>
    <n v="1"/>
    <n v="0"/>
  </r>
  <r>
    <s v="Call_7494"/>
    <x v="10"/>
    <n v="138"/>
    <x v="0"/>
    <x v="68"/>
    <n v="44"/>
    <n v="3.8"/>
    <n v="2023"/>
    <x v="3"/>
    <s v="More than 2 hours"/>
    <x v="2"/>
    <x v="1"/>
    <x v="0"/>
    <m/>
    <n v="1"/>
    <n v="0"/>
  </r>
  <r>
    <s v="Call_7495"/>
    <x v="1"/>
    <n v="47"/>
    <x v="1"/>
    <x v="68"/>
    <n v="120"/>
    <n v="3.1"/>
    <n v="2023"/>
    <x v="3"/>
    <s v="30 to 60 mins"/>
    <x v="1"/>
    <x v="0"/>
    <x v="0"/>
    <m/>
    <n v="1"/>
    <n v="0"/>
  </r>
  <r>
    <s v="Call_7496"/>
    <x v="10"/>
    <n v="74"/>
    <x v="1"/>
    <x v="68"/>
    <n v="144"/>
    <n v="4.8"/>
    <n v="2023"/>
    <x v="3"/>
    <s v="1 to 2 hours"/>
    <x v="0"/>
    <x v="1"/>
    <x v="0"/>
    <m/>
    <n v="1"/>
    <n v="1"/>
  </r>
  <r>
    <s v="Call_7497"/>
    <x v="9"/>
    <n v="65"/>
    <x v="1"/>
    <x v="68"/>
    <n v="87"/>
    <n v="2.7"/>
    <n v="2023"/>
    <x v="3"/>
    <s v="1 to 2 hours"/>
    <x v="1"/>
    <x v="1"/>
    <x v="1"/>
    <m/>
    <n v="1"/>
    <n v="0"/>
  </r>
  <r>
    <s v="Call_7498"/>
    <x v="4"/>
    <n v="123"/>
    <x v="4"/>
    <x v="68"/>
    <n v="36"/>
    <n v="3.6"/>
    <n v="2023"/>
    <x v="3"/>
    <s v="More than 2 hours"/>
    <x v="2"/>
    <x v="0"/>
    <x v="1"/>
    <m/>
    <n v="1"/>
    <n v="0"/>
  </r>
  <r>
    <s v="Call_7499"/>
    <x v="9"/>
    <n v="90"/>
    <x v="3"/>
    <x v="69"/>
    <n v="72"/>
    <n v="4.7"/>
    <n v="2023"/>
    <x v="4"/>
    <s v="1 to 2 hours"/>
    <x v="0"/>
    <x v="1"/>
    <x v="1"/>
    <m/>
    <n v="1"/>
    <n v="1"/>
  </r>
  <r>
    <s v="Call_7500"/>
    <x v="13"/>
    <n v="127"/>
    <x v="0"/>
    <x v="69"/>
    <n v="150"/>
    <n v="4.4000000000000004"/>
    <n v="2023"/>
    <x v="4"/>
    <s v="More than 2 hours"/>
    <x v="2"/>
    <x v="1"/>
    <x v="0"/>
    <m/>
    <n v="1"/>
    <n v="0"/>
  </r>
  <r>
    <s v="Call_7501"/>
    <x v="3"/>
    <n v="60"/>
    <x v="1"/>
    <x v="69"/>
    <n v="68"/>
    <n v="4.3"/>
    <n v="2023"/>
    <x v="4"/>
    <s v="30 to 60 mins"/>
    <x v="2"/>
    <x v="1"/>
    <x v="1"/>
    <m/>
    <n v="1"/>
    <n v="0"/>
  </r>
  <r>
    <s v="Call_7502"/>
    <x v="1"/>
    <n v="94"/>
    <x v="0"/>
    <x v="69"/>
    <n v="99"/>
    <n v="4.9000000000000004"/>
    <n v="2023"/>
    <x v="4"/>
    <s v="1 to 2 hours"/>
    <x v="0"/>
    <x v="0"/>
    <x v="0"/>
    <m/>
    <n v="1"/>
    <n v="1"/>
  </r>
  <r>
    <s v="Call_7503"/>
    <x v="4"/>
    <n v="54"/>
    <x v="1"/>
    <x v="69"/>
    <n v="26"/>
    <n v="4.8"/>
    <n v="2023"/>
    <x v="4"/>
    <s v="30 to 60 mins"/>
    <x v="0"/>
    <x v="0"/>
    <x v="1"/>
    <m/>
    <n v="1"/>
    <n v="1"/>
  </r>
  <r>
    <s v="Call_7504"/>
    <x v="9"/>
    <n v="104"/>
    <x v="1"/>
    <x v="69"/>
    <n v="88"/>
    <n v="3.2"/>
    <n v="2023"/>
    <x v="4"/>
    <s v="1 to 2 hours"/>
    <x v="1"/>
    <x v="1"/>
    <x v="1"/>
    <m/>
    <n v="1"/>
    <n v="0"/>
  </r>
  <r>
    <s v="Call_7505"/>
    <x v="5"/>
    <n v="100"/>
    <x v="1"/>
    <x v="69"/>
    <n v="124"/>
    <n v="3.4"/>
    <n v="2023"/>
    <x v="4"/>
    <s v="1 to 2 hours"/>
    <x v="1"/>
    <x v="2"/>
    <x v="1"/>
    <m/>
    <n v="1"/>
    <n v="0"/>
  </r>
  <r>
    <s v="Call_7506"/>
    <x v="10"/>
    <n v="84"/>
    <x v="1"/>
    <x v="69"/>
    <n v="72"/>
    <n v="3.5"/>
    <n v="2023"/>
    <x v="4"/>
    <s v="1 to 2 hours"/>
    <x v="2"/>
    <x v="1"/>
    <x v="0"/>
    <m/>
    <n v="1"/>
    <n v="0"/>
  </r>
  <r>
    <s v="Call_7507"/>
    <x v="0"/>
    <n v="92"/>
    <x v="2"/>
    <x v="70"/>
    <n v="125"/>
    <n v="4.9000000000000004"/>
    <n v="2023"/>
    <x v="5"/>
    <s v="1 to 2 hours"/>
    <x v="0"/>
    <x v="0"/>
    <x v="0"/>
    <m/>
    <n v="1"/>
    <n v="1"/>
  </r>
  <r>
    <s v="Call_7508"/>
    <x v="6"/>
    <n v="64"/>
    <x v="0"/>
    <x v="70"/>
    <n v="22"/>
    <n v="4.0999999999999996"/>
    <n v="2023"/>
    <x v="5"/>
    <s v="1 to 2 hours"/>
    <x v="2"/>
    <x v="2"/>
    <x v="1"/>
    <m/>
    <n v="1"/>
    <n v="0"/>
  </r>
  <r>
    <s v="Call_7509"/>
    <x v="2"/>
    <n v="89"/>
    <x v="3"/>
    <x v="71"/>
    <n v="70"/>
    <n v="4.9000000000000004"/>
    <n v="2023"/>
    <x v="6"/>
    <s v="1 to 2 hours"/>
    <x v="0"/>
    <x v="1"/>
    <x v="0"/>
    <m/>
    <n v="1"/>
    <n v="1"/>
  </r>
  <r>
    <s v="Call_7510"/>
    <x v="11"/>
    <n v="40"/>
    <x v="1"/>
    <x v="71"/>
    <n v="24"/>
    <n v="4.3"/>
    <n v="2023"/>
    <x v="6"/>
    <s v="30 to 60 mins"/>
    <x v="2"/>
    <x v="2"/>
    <x v="1"/>
    <m/>
    <n v="1"/>
    <n v="0"/>
  </r>
  <r>
    <s v="Call_7511"/>
    <x v="7"/>
    <n v="75"/>
    <x v="4"/>
    <x v="71"/>
    <n v="32"/>
    <n v="4.0999999999999996"/>
    <n v="2023"/>
    <x v="6"/>
    <s v="1 to 2 hours"/>
    <x v="2"/>
    <x v="2"/>
    <x v="1"/>
    <m/>
    <n v="1"/>
    <n v="0"/>
  </r>
  <r>
    <s v="Call_7512"/>
    <x v="13"/>
    <n v="106"/>
    <x v="2"/>
    <x v="71"/>
    <n v="112"/>
    <n v="4.4000000000000004"/>
    <n v="2023"/>
    <x v="6"/>
    <s v="1 to 2 hours"/>
    <x v="2"/>
    <x v="1"/>
    <x v="0"/>
    <m/>
    <n v="1"/>
    <n v="0"/>
  </r>
  <r>
    <s v="Call_7513"/>
    <x v="6"/>
    <n v="58"/>
    <x v="1"/>
    <x v="72"/>
    <n v="43"/>
    <n v="4.5"/>
    <n v="2023"/>
    <x v="0"/>
    <s v="30 to 60 mins"/>
    <x v="0"/>
    <x v="2"/>
    <x v="1"/>
    <m/>
    <n v="1"/>
    <n v="1"/>
  </r>
  <r>
    <s v="Call_7514"/>
    <x v="10"/>
    <n v="84"/>
    <x v="2"/>
    <x v="72"/>
    <n v="22"/>
    <n v="3.5"/>
    <n v="2023"/>
    <x v="0"/>
    <s v="1 to 2 hours"/>
    <x v="2"/>
    <x v="1"/>
    <x v="0"/>
    <m/>
    <n v="1"/>
    <n v="0"/>
  </r>
  <r>
    <s v="Call_7515"/>
    <x v="9"/>
    <n v="140"/>
    <x v="2"/>
    <x v="72"/>
    <n v="93"/>
    <n v="4.4000000000000004"/>
    <n v="2023"/>
    <x v="0"/>
    <s v="More than 2 hours"/>
    <x v="2"/>
    <x v="1"/>
    <x v="1"/>
    <m/>
    <n v="1"/>
    <n v="0"/>
  </r>
  <r>
    <s v="Call_7516"/>
    <x v="6"/>
    <n v="67"/>
    <x v="2"/>
    <x v="72"/>
    <n v="45"/>
    <n v="3.5"/>
    <n v="2023"/>
    <x v="0"/>
    <s v="1 to 2 hours"/>
    <x v="2"/>
    <x v="2"/>
    <x v="1"/>
    <m/>
    <n v="1"/>
    <n v="0"/>
  </r>
  <r>
    <s v="Call_7517"/>
    <x v="1"/>
    <n v="126"/>
    <x v="2"/>
    <x v="73"/>
    <n v="96"/>
    <n v="3.8"/>
    <n v="2023"/>
    <x v="1"/>
    <s v="More than 2 hours"/>
    <x v="2"/>
    <x v="0"/>
    <x v="0"/>
    <m/>
    <n v="1"/>
    <n v="0"/>
  </r>
  <r>
    <s v="Call_7518"/>
    <x v="1"/>
    <n v="89"/>
    <x v="1"/>
    <x v="73"/>
    <n v="96"/>
    <n v="3.3"/>
    <n v="2023"/>
    <x v="1"/>
    <s v="1 to 2 hours"/>
    <x v="1"/>
    <x v="0"/>
    <x v="0"/>
    <m/>
    <n v="1"/>
    <n v="0"/>
  </r>
  <r>
    <s v="Call_7519"/>
    <x v="2"/>
    <n v="56"/>
    <x v="0"/>
    <x v="73"/>
    <n v="31"/>
    <n v="4.4000000000000004"/>
    <n v="2023"/>
    <x v="1"/>
    <s v="30 to 60 mins"/>
    <x v="2"/>
    <x v="1"/>
    <x v="0"/>
    <m/>
    <n v="1"/>
    <n v="0"/>
  </r>
  <r>
    <s v="Call_7520"/>
    <x v="4"/>
    <n v="48"/>
    <x v="1"/>
    <x v="73"/>
    <n v="200"/>
    <n v="3.9"/>
    <n v="2023"/>
    <x v="1"/>
    <s v="30 to 60 mins"/>
    <x v="2"/>
    <x v="0"/>
    <x v="1"/>
    <m/>
    <n v="1"/>
    <n v="0"/>
  </r>
  <r>
    <s v="Call_7521"/>
    <x v="1"/>
    <n v="55"/>
    <x v="0"/>
    <x v="73"/>
    <n v="99"/>
    <n v="2.7"/>
    <n v="2023"/>
    <x v="1"/>
    <s v="30 to 60 mins"/>
    <x v="1"/>
    <x v="0"/>
    <x v="0"/>
    <m/>
    <n v="1"/>
    <n v="0"/>
  </r>
  <r>
    <s v="Call_7522"/>
    <x v="3"/>
    <n v="88"/>
    <x v="4"/>
    <x v="73"/>
    <n v="144"/>
    <n v="2.9"/>
    <n v="2023"/>
    <x v="1"/>
    <s v="1 to 2 hours"/>
    <x v="1"/>
    <x v="1"/>
    <x v="1"/>
    <m/>
    <n v="1"/>
    <n v="0"/>
  </r>
  <r>
    <s v="Call_7523"/>
    <x v="2"/>
    <n v="102"/>
    <x v="2"/>
    <x v="74"/>
    <n v="81"/>
    <n v="4"/>
    <n v="2023"/>
    <x v="2"/>
    <s v="1 to 2 hours"/>
    <x v="2"/>
    <x v="1"/>
    <x v="0"/>
    <m/>
    <n v="1"/>
    <n v="0"/>
  </r>
  <r>
    <s v="Call_7524"/>
    <x v="3"/>
    <n v="155"/>
    <x v="4"/>
    <x v="74"/>
    <n v="70"/>
    <n v="4.4000000000000004"/>
    <n v="2023"/>
    <x v="2"/>
    <s v="More than 2 hours"/>
    <x v="2"/>
    <x v="1"/>
    <x v="1"/>
    <m/>
    <n v="1"/>
    <n v="0"/>
  </r>
  <r>
    <s v="Call_7525"/>
    <x v="1"/>
    <n v="63"/>
    <x v="4"/>
    <x v="74"/>
    <n v="148"/>
    <n v="5"/>
    <n v="2023"/>
    <x v="2"/>
    <s v="1 to 2 hours"/>
    <x v="0"/>
    <x v="0"/>
    <x v="0"/>
    <m/>
    <n v="1"/>
    <n v="1"/>
  </r>
  <r>
    <s v="Call_7526"/>
    <x v="5"/>
    <n v="59"/>
    <x v="2"/>
    <x v="74"/>
    <n v="215"/>
    <n v="4.0999999999999996"/>
    <n v="2023"/>
    <x v="2"/>
    <s v="30 to 60 mins"/>
    <x v="2"/>
    <x v="2"/>
    <x v="1"/>
    <m/>
    <n v="1"/>
    <n v="0"/>
  </r>
  <r>
    <s v="Call_7527"/>
    <x v="5"/>
    <n v="144"/>
    <x v="1"/>
    <x v="74"/>
    <n v="124"/>
    <n v="4.4000000000000004"/>
    <n v="2023"/>
    <x v="2"/>
    <s v="More than 2 hours"/>
    <x v="2"/>
    <x v="2"/>
    <x v="1"/>
    <m/>
    <n v="1"/>
    <n v="0"/>
  </r>
  <r>
    <s v="Call_7528"/>
    <x v="10"/>
    <n v="113"/>
    <x v="3"/>
    <x v="74"/>
    <n v="168"/>
    <n v="4.0999999999999996"/>
    <n v="2023"/>
    <x v="2"/>
    <s v="1 to 2 hours"/>
    <x v="2"/>
    <x v="1"/>
    <x v="0"/>
    <m/>
    <n v="1"/>
    <n v="0"/>
  </r>
  <r>
    <s v="Call_7529"/>
    <x v="12"/>
    <n v="154"/>
    <x v="0"/>
    <x v="74"/>
    <n v="90"/>
    <n v="4.5"/>
    <n v="2023"/>
    <x v="2"/>
    <s v="More than 2 hours"/>
    <x v="0"/>
    <x v="0"/>
    <x v="1"/>
    <m/>
    <n v="1"/>
    <n v="1"/>
  </r>
  <r>
    <s v="Call_7530"/>
    <x v="12"/>
    <n v="58"/>
    <x v="2"/>
    <x v="75"/>
    <n v="176"/>
    <n v="4.2"/>
    <n v="2023"/>
    <x v="3"/>
    <s v="30 to 60 mins"/>
    <x v="2"/>
    <x v="0"/>
    <x v="1"/>
    <m/>
    <n v="1"/>
    <n v="0"/>
  </r>
  <r>
    <s v="Call_7531"/>
    <x v="4"/>
    <n v="63"/>
    <x v="4"/>
    <x v="75"/>
    <n v="87"/>
    <n v="4.5999999999999996"/>
    <n v="2023"/>
    <x v="3"/>
    <s v="1 to 2 hours"/>
    <x v="0"/>
    <x v="0"/>
    <x v="1"/>
    <m/>
    <n v="1"/>
    <n v="1"/>
  </r>
  <r>
    <s v="Call_7532"/>
    <x v="9"/>
    <n v="59"/>
    <x v="1"/>
    <x v="75"/>
    <n v="128"/>
    <n v="4.5"/>
    <n v="2023"/>
    <x v="3"/>
    <s v="30 to 60 mins"/>
    <x v="0"/>
    <x v="1"/>
    <x v="1"/>
    <m/>
    <n v="1"/>
    <n v="1"/>
  </r>
  <r>
    <s v="Call_7533"/>
    <x v="14"/>
    <n v="129"/>
    <x v="4"/>
    <x v="75"/>
    <n v="120"/>
    <n v="4.0999999999999996"/>
    <n v="2023"/>
    <x v="3"/>
    <s v="More than 2 hours"/>
    <x v="2"/>
    <x v="2"/>
    <x v="1"/>
    <m/>
    <n v="1"/>
    <n v="0"/>
  </r>
  <r>
    <s v="Call_7534"/>
    <x v="8"/>
    <n v="101"/>
    <x v="3"/>
    <x v="75"/>
    <n v="130"/>
    <n v="4.8"/>
    <n v="2023"/>
    <x v="3"/>
    <s v="1 to 2 hours"/>
    <x v="0"/>
    <x v="2"/>
    <x v="0"/>
    <m/>
    <n v="1"/>
    <n v="1"/>
  </r>
  <r>
    <s v="Call_7535"/>
    <x v="11"/>
    <n v="154"/>
    <x v="1"/>
    <x v="75"/>
    <n v="172"/>
    <n v="3.1"/>
    <n v="2023"/>
    <x v="3"/>
    <s v="More than 2 hours"/>
    <x v="1"/>
    <x v="2"/>
    <x v="1"/>
    <m/>
    <n v="1"/>
    <n v="0"/>
  </r>
  <r>
    <s v="Call_7536"/>
    <x v="6"/>
    <n v="131"/>
    <x v="1"/>
    <x v="75"/>
    <n v="58"/>
    <n v="4.9000000000000004"/>
    <n v="2023"/>
    <x v="3"/>
    <s v="More than 2 hours"/>
    <x v="0"/>
    <x v="2"/>
    <x v="1"/>
    <m/>
    <n v="1"/>
    <n v="1"/>
  </r>
  <r>
    <s v="Call_7537"/>
    <x v="5"/>
    <n v="111"/>
    <x v="3"/>
    <x v="76"/>
    <n v="86"/>
    <n v="4.0999999999999996"/>
    <n v="2023"/>
    <x v="4"/>
    <s v="1 to 2 hours"/>
    <x v="2"/>
    <x v="2"/>
    <x v="1"/>
    <m/>
    <n v="1"/>
    <n v="0"/>
  </r>
  <r>
    <s v="Call_7538"/>
    <x v="12"/>
    <n v="142"/>
    <x v="3"/>
    <x v="77"/>
    <n v="31"/>
    <n v="4.4000000000000004"/>
    <n v="2023"/>
    <x v="5"/>
    <s v="More than 2 hours"/>
    <x v="2"/>
    <x v="0"/>
    <x v="1"/>
    <m/>
    <n v="1"/>
    <n v="0"/>
  </r>
  <r>
    <s v="Call_7539"/>
    <x v="2"/>
    <n v="93"/>
    <x v="4"/>
    <x v="77"/>
    <n v="72"/>
    <n v="4.4000000000000004"/>
    <n v="2023"/>
    <x v="5"/>
    <s v="1 to 2 hours"/>
    <x v="2"/>
    <x v="1"/>
    <x v="0"/>
    <m/>
    <n v="1"/>
    <n v="0"/>
  </r>
  <r>
    <s v="Call_7540"/>
    <x v="12"/>
    <n v="125"/>
    <x v="0"/>
    <x v="78"/>
    <n v="27"/>
    <n v="3"/>
    <n v="2023"/>
    <x v="6"/>
    <s v="More than 2 hours"/>
    <x v="1"/>
    <x v="0"/>
    <x v="1"/>
    <m/>
    <n v="1"/>
    <n v="0"/>
  </r>
  <r>
    <s v="Call_7541"/>
    <x v="14"/>
    <n v="76"/>
    <x v="1"/>
    <x v="78"/>
    <n v="110"/>
    <n v="4.4000000000000004"/>
    <n v="2023"/>
    <x v="6"/>
    <s v="1 to 2 hours"/>
    <x v="2"/>
    <x v="2"/>
    <x v="1"/>
    <m/>
    <n v="1"/>
    <n v="0"/>
  </r>
  <r>
    <s v="Call_7542"/>
    <x v="10"/>
    <n v="69"/>
    <x v="4"/>
    <x v="78"/>
    <n v="126"/>
    <n v="3.7"/>
    <n v="2023"/>
    <x v="6"/>
    <s v="1 to 2 hours"/>
    <x v="2"/>
    <x v="1"/>
    <x v="0"/>
    <m/>
    <n v="1"/>
    <n v="0"/>
  </r>
  <r>
    <s v="Call_7543"/>
    <x v="9"/>
    <n v="149"/>
    <x v="0"/>
    <x v="78"/>
    <n v="60"/>
    <n v="3.9"/>
    <n v="2023"/>
    <x v="6"/>
    <s v="More than 2 hours"/>
    <x v="2"/>
    <x v="1"/>
    <x v="1"/>
    <m/>
    <n v="1"/>
    <n v="0"/>
  </r>
  <r>
    <s v="Call_7544"/>
    <x v="12"/>
    <n v="57"/>
    <x v="4"/>
    <x v="78"/>
    <n v="35"/>
    <n v="3.5"/>
    <n v="2023"/>
    <x v="6"/>
    <s v="30 to 60 mins"/>
    <x v="2"/>
    <x v="0"/>
    <x v="1"/>
    <m/>
    <n v="1"/>
    <n v="0"/>
  </r>
  <r>
    <s v="Call_7545"/>
    <x v="1"/>
    <n v="113"/>
    <x v="1"/>
    <x v="78"/>
    <n v="81"/>
    <n v="3.5"/>
    <n v="2023"/>
    <x v="6"/>
    <s v="1 to 2 hours"/>
    <x v="2"/>
    <x v="0"/>
    <x v="0"/>
    <m/>
    <n v="1"/>
    <n v="0"/>
  </r>
  <r>
    <s v="Call_7546"/>
    <x v="0"/>
    <n v="160"/>
    <x v="0"/>
    <x v="78"/>
    <n v="116"/>
    <n v="3.4"/>
    <n v="2023"/>
    <x v="6"/>
    <s v="More than 2 hours"/>
    <x v="1"/>
    <x v="0"/>
    <x v="0"/>
    <m/>
    <n v="1"/>
    <n v="0"/>
  </r>
  <r>
    <s v="Call_7547"/>
    <x v="4"/>
    <n v="158"/>
    <x v="2"/>
    <x v="78"/>
    <n v="60"/>
    <n v="4.5"/>
    <n v="2023"/>
    <x v="6"/>
    <s v="More than 2 hours"/>
    <x v="0"/>
    <x v="0"/>
    <x v="1"/>
    <m/>
    <n v="1"/>
    <n v="1"/>
  </r>
  <r>
    <s v="Call_7548"/>
    <x v="10"/>
    <n v="77"/>
    <x v="0"/>
    <x v="79"/>
    <n v="130"/>
    <n v="4.2"/>
    <n v="2023"/>
    <x v="0"/>
    <s v="1 to 2 hours"/>
    <x v="2"/>
    <x v="1"/>
    <x v="0"/>
    <m/>
    <n v="1"/>
    <n v="0"/>
  </r>
  <r>
    <s v="Call_7549"/>
    <x v="7"/>
    <n v="118"/>
    <x v="3"/>
    <x v="79"/>
    <n v="99"/>
    <n v="5"/>
    <n v="2023"/>
    <x v="0"/>
    <s v="1 to 2 hours"/>
    <x v="0"/>
    <x v="2"/>
    <x v="1"/>
    <m/>
    <n v="1"/>
    <n v="1"/>
  </r>
  <r>
    <s v="Call_7550"/>
    <x v="11"/>
    <n v="75"/>
    <x v="1"/>
    <x v="79"/>
    <n v="135"/>
    <n v="4.7"/>
    <n v="2023"/>
    <x v="0"/>
    <s v="1 to 2 hours"/>
    <x v="0"/>
    <x v="2"/>
    <x v="1"/>
    <m/>
    <n v="1"/>
    <n v="1"/>
  </r>
  <r>
    <s v="Call_7551"/>
    <x v="1"/>
    <n v="103"/>
    <x v="0"/>
    <x v="79"/>
    <n v="42"/>
    <n v="2.8"/>
    <n v="2023"/>
    <x v="0"/>
    <s v="1 to 2 hours"/>
    <x v="1"/>
    <x v="0"/>
    <x v="0"/>
    <m/>
    <n v="1"/>
    <n v="0"/>
  </r>
  <r>
    <s v="Call_7552"/>
    <x v="10"/>
    <n v="116"/>
    <x v="3"/>
    <x v="80"/>
    <n v="63"/>
    <n v="3.4"/>
    <n v="2023"/>
    <x v="1"/>
    <s v="1 to 2 hours"/>
    <x v="1"/>
    <x v="1"/>
    <x v="0"/>
    <m/>
    <n v="1"/>
    <n v="0"/>
  </r>
  <r>
    <s v="Call_7553"/>
    <x v="5"/>
    <n v="61"/>
    <x v="2"/>
    <x v="80"/>
    <n v="140"/>
    <n v="1.8"/>
    <n v="2023"/>
    <x v="1"/>
    <s v="1 to 2 hours"/>
    <x v="3"/>
    <x v="2"/>
    <x v="1"/>
    <m/>
    <n v="1"/>
    <n v="0"/>
  </r>
  <r>
    <s v="Call_7554"/>
    <x v="12"/>
    <n v="126"/>
    <x v="1"/>
    <x v="80"/>
    <n v="128"/>
    <n v="4.2"/>
    <n v="2023"/>
    <x v="1"/>
    <s v="More than 2 hours"/>
    <x v="2"/>
    <x v="0"/>
    <x v="1"/>
    <m/>
    <n v="1"/>
    <n v="0"/>
  </r>
  <r>
    <s v="Call_7555"/>
    <x v="8"/>
    <n v="141"/>
    <x v="4"/>
    <x v="80"/>
    <n v="80"/>
    <n v="4.4000000000000004"/>
    <n v="2023"/>
    <x v="1"/>
    <s v="More than 2 hours"/>
    <x v="2"/>
    <x v="2"/>
    <x v="0"/>
    <m/>
    <n v="1"/>
    <n v="0"/>
  </r>
  <r>
    <s v="Call_7556"/>
    <x v="4"/>
    <n v="95"/>
    <x v="3"/>
    <x v="80"/>
    <n v="28"/>
    <n v="2.7"/>
    <n v="2023"/>
    <x v="1"/>
    <s v="1 to 2 hours"/>
    <x v="1"/>
    <x v="0"/>
    <x v="1"/>
    <m/>
    <n v="1"/>
    <n v="0"/>
  </r>
  <r>
    <s v="Call_7557"/>
    <x v="11"/>
    <n v="39"/>
    <x v="2"/>
    <x v="81"/>
    <n v="81"/>
    <n v="5"/>
    <n v="2023"/>
    <x v="2"/>
    <s v="30 to 60 mins"/>
    <x v="0"/>
    <x v="2"/>
    <x v="1"/>
    <m/>
    <n v="1"/>
    <n v="1"/>
  </r>
  <r>
    <s v="Call_7558"/>
    <x v="1"/>
    <n v="127"/>
    <x v="1"/>
    <x v="81"/>
    <n v="99"/>
    <n v="3.9"/>
    <n v="2023"/>
    <x v="2"/>
    <s v="More than 2 hours"/>
    <x v="2"/>
    <x v="0"/>
    <x v="0"/>
    <m/>
    <n v="1"/>
    <n v="0"/>
  </r>
  <r>
    <s v="Call_7559"/>
    <x v="5"/>
    <n v="78"/>
    <x v="1"/>
    <x v="81"/>
    <n v="43"/>
    <n v="3.8"/>
    <n v="2023"/>
    <x v="2"/>
    <s v="1 to 2 hours"/>
    <x v="2"/>
    <x v="2"/>
    <x v="1"/>
    <m/>
    <n v="1"/>
    <n v="0"/>
  </r>
  <r>
    <s v="Call_7560"/>
    <x v="7"/>
    <n v="40"/>
    <x v="1"/>
    <x v="81"/>
    <n v="34"/>
    <n v="4.5999999999999996"/>
    <n v="2023"/>
    <x v="2"/>
    <s v="30 to 60 mins"/>
    <x v="0"/>
    <x v="2"/>
    <x v="1"/>
    <m/>
    <n v="1"/>
    <n v="1"/>
  </r>
  <r>
    <s v="Call_7561"/>
    <x v="5"/>
    <n v="56"/>
    <x v="2"/>
    <x v="81"/>
    <n v="225"/>
    <n v="4.5999999999999996"/>
    <n v="2023"/>
    <x v="2"/>
    <s v="30 to 60 mins"/>
    <x v="0"/>
    <x v="2"/>
    <x v="1"/>
    <m/>
    <n v="1"/>
    <n v="1"/>
  </r>
  <r>
    <s v="Call_7562"/>
    <x v="11"/>
    <n v="59"/>
    <x v="4"/>
    <x v="81"/>
    <n v="210"/>
    <n v="4.5"/>
    <n v="2023"/>
    <x v="2"/>
    <s v="30 to 60 mins"/>
    <x v="0"/>
    <x v="2"/>
    <x v="1"/>
    <m/>
    <n v="1"/>
    <n v="1"/>
  </r>
  <r>
    <s v="Call_7563"/>
    <x v="12"/>
    <n v="30"/>
    <x v="1"/>
    <x v="81"/>
    <n v="168"/>
    <n v="4.2"/>
    <n v="2023"/>
    <x v="2"/>
    <s v="10 to 30 mins"/>
    <x v="2"/>
    <x v="0"/>
    <x v="1"/>
    <m/>
    <n v="1"/>
    <n v="0"/>
  </r>
  <r>
    <s v="Call_7564"/>
    <x v="7"/>
    <n v="63"/>
    <x v="0"/>
    <x v="82"/>
    <n v="82"/>
    <n v="4.5"/>
    <n v="2023"/>
    <x v="3"/>
    <s v="1 to 2 hours"/>
    <x v="0"/>
    <x v="2"/>
    <x v="1"/>
    <m/>
    <n v="1"/>
    <n v="1"/>
  </r>
  <r>
    <s v="Call_7565"/>
    <x v="2"/>
    <n v="56"/>
    <x v="3"/>
    <x v="82"/>
    <n v="88"/>
    <n v="4.0999999999999996"/>
    <n v="2023"/>
    <x v="3"/>
    <s v="30 to 60 mins"/>
    <x v="2"/>
    <x v="1"/>
    <x v="0"/>
    <m/>
    <n v="1"/>
    <n v="0"/>
  </r>
  <r>
    <s v="Call_7566"/>
    <x v="14"/>
    <n v="95"/>
    <x v="0"/>
    <x v="82"/>
    <n v="111"/>
    <n v="3.3"/>
    <n v="2023"/>
    <x v="3"/>
    <s v="1 to 2 hours"/>
    <x v="1"/>
    <x v="2"/>
    <x v="1"/>
    <m/>
    <n v="1"/>
    <n v="0"/>
  </r>
  <r>
    <s v="Call_7567"/>
    <x v="13"/>
    <n v="128"/>
    <x v="4"/>
    <x v="82"/>
    <n v="60"/>
    <n v="3.8"/>
    <n v="2023"/>
    <x v="3"/>
    <s v="More than 2 hours"/>
    <x v="2"/>
    <x v="1"/>
    <x v="0"/>
    <m/>
    <n v="1"/>
    <n v="0"/>
  </r>
  <r>
    <s v="Call_7568"/>
    <x v="4"/>
    <n v="49"/>
    <x v="0"/>
    <x v="82"/>
    <n v="80"/>
    <n v="3"/>
    <n v="2023"/>
    <x v="3"/>
    <s v="30 to 60 mins"/>
    <x v="1"/>
    <x v="0"/>
    <x v="1"/>
    <m/>
    <n v="1"/>
    <n v="0"/>
  </r>
  <r>
    <s v="Call_7569"/>
    <x v="13"/>
    <n v="89"/>
    <x v="2"/>
    <x v="83"/>
    <n v="90"/>
    <n v="4.5999999999999996"/>
    <n v="2023"/>
    <x v="5"/>
    <s v="1 to 2 hours"/>
    <x v="0"/>
    <x v="1"/>
    <x v="0"/>
    <m/>
    <n v="1"/>
    <n v="1"/>
  </r>
  <r>
    <s v="Call_7570"/>
    <x v="9"/>
    <n v="87"/>
    <x v="0"/>
    <x v="83"/>
    <n v="225"/>
    <n v="2.9"/>
    <n v="2023"/>
    <x v="5"/>
    <s v="1 to 2 hours"/>
    <x v="1"/>
    <x v="1"/>
    <x v="1"/>
    <m/>
    <n v="1"/>
    <n v="0"/>
  </r>
  <r>
    <s v="Call_7571"/>
    <x v="0"/>
    <n v="60"/>
    <x v="1"/>
    <x v="84"/>
    <n v="215"/>
    <n v="3.2"/>
    <n v="2023"/>
    <x v="6"/>
    <s v="30 to 60 mins"/>
    <x v="1"/>
    <x v="0"/>
    <x v="0"/>
    <m/>
    <n v="1"/>
    <n v="0"/>
  </r>
  <r>
    <s v="Call_7572"/>
    <x v="3"/>
    <n v="42"/>
    <x v="2"/>
    <x v="84"/>
    <n v="45"/>
    <n v="1.5"/>
    <n v="2023"/>
    <x v="6"/>
    <s v="30 to 60 mins"/>
    <x v="3"/>
    <x v="1"/>
    <x v="1"/>
    <m/>
    <n v="1"/>
    <n v="0"/>
  </r>
  <r>
    <s v="Call_7573"/>
    <x v="6"/>
    <n v="99"/>
    <x v="1"/>
    <x v="84"/>
    <n v="74"/>
    <n v="4"/>
    <n v="2023"/>
    <x v="6"/>
    <s v="1 to 2 hours"/>
    <x v="2"/>
    <x v="2"/>
    <x v="1"/>
    <m/>
    <n v="1"/>
    <n v="0"/>
  </r>
  <r>
    <s v="Call_7574"/>
    <x v="2"/>
    <n v="20"/>
    <x v="2"/>
    <x v="84"/>
    <n v="60"/>
    <n v="3.6"/>
    <n v="2023"/>
    <x v="6"/>
    <s v="10 to 30 mins"/>
    <x v="2"/>
    <x v="1"/>
    <x v="0"/>
    <m/>
    <n v="1"/>
    <n v="0"/>
  </r>
  <r>
    <s v="Call_7575"/>
    <x v="7"/>
    <n v="65"/>
    <x v="1"/>
    <x v="84"/>
    <n v="64"/>
    <n v="3.7"/>
    <n v="2023"/>
    <x v="6"/>
    <s v="1 to 2 hours"/>
    <x v="2"/>
    <x v="2"/>
    <x v="1"/>
    <m/>
    <n v="1"/>
    <n v="0"/>
  </r>
  <r>
    <s v="Call_7576"/>
    <x v="12"/>
    <n v="71"/>
    <x v="0"/>
    <x v="85"/>
    <n v="110"/>
    <n v="4.8"/>
    <n v="2023"/>
    <x v="0"/>
    <s v="1 to 2 hours"/>
    <x v="0"/>
    <x v="0"/>
    <x v="1"/>
    <m/>
    <n v="1"/>
    <n v="1"/>
  </r>
  <r>
    <s v="Call_7577"/>
    <x v="1"/>
    <n v="95"/>
    <x v="4"/>
    <x v="85"/>
    <n v="52"/>
    <n v="1.2"/>
    <n v="2023"/>
    <x v="0"/>
    <s v="1 to 2 hours"/>
    <x v="5"/>
    <x v="0"/>
    <x v="0"/>
    <m/>
    <n v="1"/>
    <n v="0"/>
  </r>
  <r>
    <s v="Call_7578"/>
    <x v="2"/>
    <n v="81"/>
    <x v="3"/>
    <x v="86"/>
    <n v="160"/>
    <n v="4.7"/>
    <n v="2023"/>
    <x v="1"/>
    <s v="1 to 2 hours"/>
    <x v="0"/>
    <x v="1"/>
    <x v="0"/>
    <m/>
    <n v="1"/>
    <n v="1"/>
  </r>
  <r>
    <s v="Call_7579"/>
    <x v="10"/>
    <n v="137"/>
    <x v="3"/>
    <x v="86"/>
    <n v="215"/>
    <n v="4.7"/>
    <n v="2023"/>
    <x v="1"/>
    <s v="More than 2 hours"/>
    <x v="0"/>
    <x v="1"/>
    <x v="0"/>
    <m/>
    <n v="1"/>
    <n v="1"/>
  </r>
  <r>
    <s v="Call_7580"/>
    <x v="10"/>
    <n v="40"/>
    <x v="4"/>
    <x v="86"/>
    <n v="220"/>
    <n v="4.5"/>
    <n v="2023"/>
    <x v="1"/>
    <s v="30 to 60 mins"/>
    <x v="0"/>
    <x v="1"/>
    <x v="0"/>
    <m/>
    <n v="1"/>
    <n v="1"/>
  </r>
  <r>
    <s v="Call_7581"/>
    <x v="6"/>
    <n v="111"/>
    <x v="1"/>
    <x v="87"/>
    <n v="175"/>
    <n v="3.5"/>
    <n v="2023"/>
    <x v="2"/>
    <s v="1 to 2 hours"/>
    <x v="2"/>
    <x v="2"/>
    <x v="1"/>
    <m/>
    <n v="1"/>
    <n v="0"/>
  </r>
  <r>
    <s v="Call_7582"/>
    <x v="12"/>
    <n v="106"/>
    <x v="1"/>
    <x v="87"/>
    <n v="145"/>
    <n v="4.0999999999999996"/>
    <n v="2023"/>
    <x v="2"/>
    <s v="1 to 2 hours"/>
    <x v="2"/>
    <x v="0"/>
    <x v="1"/>
    <m/>
    <n v="1"/>
    <n v="0"/>
  </r>
  <r>
    <s v="Call_7583"/>
    <x v="3"/>
    <n v="133"/>
    <x v="2"/>
    <x v="87"/>
    <n v="72"/>
    <n v="4.4000000000000004"/>
    <n v="2023"/>
    <x v="2"/>
    <s v="More than 2 hours"/>
    <x v="2"/>
    <x v="1"/>
    <x v="1"/>
    <m/>
    <n v="1"/>
    <n v="0"/>
  </r>
  <r>
    <s v="Call_7584"/>
    <x v="5"/>
    <n v="38"/>
    <x v="1"/>
    <x v="88"/>
    <n v="81"/>
    <n v="3.6"/>
    <n v="2023"/>
    <x v="3"/>
    <s v="30 to 60 mins"/>
    <x v="2"/>
    <x v="2"/>
    <x v="1"/>
    <m/>
    <n v="1"/>
    <n v="0"/>
  </r>
  <r>
    <s v="Call_7585"/>
    <x v="11"/>
    <n v="130"/>
    <x v="4"/>
    <x v="88"/>
    <n v="54"/>
    <n v="4.0999999999999996"/>
    <n v="2023"/>
    <x v="3"/>
    <s v="More than 2 hours"/>
    <x v="2"/>
    <x v="2"/>
    <x v="1"/>
    <m/>
    <n v="1"/>
    <n v="0"/>
  </r>
  <r>
    <s v="Call_7586"/>
    <x v="7"/>
    <n v="23"/>
    <x v="2"/>
    <x v="88"/>
    <n v="105"/>
    <n v="4.8"/>
    <n v="2023"/>
    <x v="3"/>
    <s v="10 to 30 mins"/>
    <x v="0"/>
    <x v="2"/>
    <x v="1"/>
    <m/>
    <n v="1"/>
    <n v="1"/>
  </r>
  <r>
    <s v="Call_7587"/>
    <x v="11"/>
    <n v="124"/>
    <x v="1"/>
    <x v="89"/>
    <n v="176"/>
    <n v="3.9"/>
    <n v="2023"/>
    <x v="4"/>
    <s v="More than 2 hours"/>
    <x v="2"/>
    <x v="2"/>
    <x v="1"/>
    <m/>
    <n v="1"/>
    <n v="0"/>
  </r>
  <r>
    <s v="Call_7588"/>
    <x v="2"/>
    <n v="107"/>
    <x v="1"/>
    <x v="89"/>
    <n v="115"/>
    <n v="3.8"/>
    <n v="2023"/>
    <x v="4"/>
    <s v="1 to 2 hours"/>
    <x v="2"/>
    <x v="1"/>
    <x v="0"/>
    <m/>
    <n v="1"/>
    <n v="0"/>
  </r>
  <r>
    <s v="Call_7589"/>
    <x v="10"/>
    <n v="60"/>
    <x v="0"/>
    <x v="89"/>
    <n v="116"/>
    <n v="3.9"/>
    <n v="2023"/>
    <x v="4"/>
    <s v="30 to 60 mins"/>
    <x v="2"/>
    <x v="1"/>
    <x v="0"/>
    <m/>
    <n v="1"/>
    <n v="0"/>
  </r>
  <r>
    <s v="Call_7590"/>
    <x v="10"/>
    <n v="158"/>
    <x v="4"/>
    <x v="89"/>
    <n v="100"/>
    <n v="4.0999999999999996"/>
    <n v="2023"/>
    <x v="4"/>
    <s v="More than 2 hours"/>
    <x v="2"/>
    <x v="1"/>
    <x v="0"/>
    <m/>
    <n v="1"/>
    <n v="0"/>
  </r>
  <r>
    <s v="Call_7591"/>
    <x v="9"/>
    <n v="110"/>
    <x v="4"/>
    <x v="90"/>
    <n v="36"/>
    <n v="2.2000000000000002"/>
    <n v="2023"/>
    <x v="5"/>
    <s v="1 to 2 hours"/>
    <x v="3"/>
    <x v="1"/>
    <x v="1"/>
    <m/>
    <n v="1"/>
    <n v="0"/>
  </r>
  <r>
    <s v="Call_7592"/>
    <x v="13"/>
    <n v="70"/>
    <x v="4"/>
    <x v="90"/>
    <n v="114"/>
    <n v="5"/>
    <n v="2023"/>
    <x v="5"/>
    <s v="1 to 2 hours"/>
    <x v="0"/>
    <x v="1"/>
    <x v="0"/>
    <m/>
    <n v="1"/>
    <n v="1"/>
  </r>
  <r>
    <s v="Call_7593"/>
    <x v="13"/>
    <n v="150"/>
    <x v="0"/>
    <x v="90"/>
    <n v="24"/>
    <n v="3.8"/>
    <n v="2023"/>
    <x v="5"/>
    <s v="More than 2 hours"/>
    <x v="2"/>
    <x v="1"/>
    <x v="0"/>
    <m/>
    <n v="1"/>
    <n v="0"/>
  </r>
  <r>
    <s v="Call_7594"/>
    <x v="5"/>
    <n v="36"/>
    <x v="1"/>
    <x v="90"/>
    <n v="135"/>
    <n v="4.5999999999999996"/>
    <n v="2023"/>
    <x v="5"/>
    <s v="30 to 60 mins"/>
    <x v="0"/>
    <x v="2"/>
    <x v="1"/>
    <m/>
    <n v="1"/>
    <n v="1"/>
  </r>
  <r>
    <s v="Call_7595"/>
    <x v="11"/>
    <n v="74"/>
    <x v="1"/>
    <x v="90"/>
    <n v="30"/>
    <n v="4"/>
    <n v="2023"/>
    <x v="5"/>
    <s v="1 to 2 hours"/>
    <x v="2"/>
    <x v="2"/>
    <x v="1"/>
    <m/>
    <n v="1"/>
    <n v="0"/>
  </r>
  <r>
    <s v="Call_7596"/>
    <x v="1"/>
    <n v="75"/>
    <x v="1"/>
    <x v="90"/>
    <n v="84"/>
    <n v="2.8"/>
    <n v="2023"/>
    <x v="5"/>
    <s v="1 to 2 hours"/>
    <x v="1"/>
    <x v="0"/>
    <x v="0"/>
    <m/>
    <n v="1"/>
    <n v="0"/>
  </r>
  <r>
    <s v="Call_7597"/>
    <x v="14"/>
    <n v="70"/>
    <x v="3"/>
    <x v="90"/>
    <n v="42"/>
    <n v="4.4000000000000004"/>
    <n v="2023"/>
    <x v="5"/>
    <s v="1 to 2 hours"/>
    <x v="2"/>
    <x v="2"/>
    <x v="1"/>
    <m/>
    <n v="1"/>
    <n v="0"/>
  </r>
  <r>
    <s v="Call_7598"/>
    <x v="9"/>
    <n v="23"/>
    <x v="4"/>
    <x v="90"/>
    <n v="117"/>
    <n v="2.4"/>
    <n v="2023"/>
    <x v="5"/>
    <s v="10 to 30 mins"/>
    <x v="3"/>
    <x v="1"/>
    <x v="1"/>
    <m/>
    <n v="1"/>
    <n v="0"/>
  </r>
  <r>
    <s v="Call_7599"/>
    <x v="6"/>
    <n v="104"/>
    <x v="2"/>
    <x v="90"/>
    <n v="164"/>
    <n v="4"/>
    <n v="2023"/>
    <x v="5"/>
    <s v="1 to 2 hours"/>
    <x v="2"/>
    <x v="2"/>
    <x v="1"/>
    <m/>
    <n v="1"/>
    <n v="0"/>
  </r>
  <r>
    <s v="Call_7600"/>
    <x v="13"/>
    <n v="95"/>
    <x v="3"/>
    <x v="91"/>
    <n v="123"/>
    <n v="4.4000000000000004"/>
    <n v="2023"/>
    <x v="6"/>
    <s v="1 to 2 hours"/>
    <x v="2"/>
    <x v="1"/>
    <x v="0"/>
    <m/>
    <n v="1"/>
    <n v="0"/>
  </r>
  <r>
    <s v="Call_7601"/>
    <x v="4"/>
    <n v="49"/>
    <x v="0"/>
    <x v="91"/>
    <n v="172"/>
    <n v="2.9"/>
    <n v="2023"/>
    <x v="6"/>
    <s v="30 to 60 mins"/>
    <x v="1"/>
    <x v="0"/>
    <x v="1"/>
    <m/>
    <n v="1"/>
    <n v="0"/>
  </r>
  <r>
    <s v="Call_7602"/>
    <x v="12"/>
    <n v="8"/>
    <x v="4"/>
    <x v="91"/>
    <n v="20"/>
    <n v="4.8"/>
    <n v="2023"/>
    <x v="6"/>
    <s v="Under 10 mins"/>
    <x v="0"/>
    <x v="0"/>
    <x v="1"/>
    <m/>
    <n v="1"/>
    <n v="1"/>
  </r>
  <r>
    <s v="Call_7603"/>
    <x v="13"/>
    <n v="157"/>
    <x v="0"/>
    <x v="91"/>
    <n v="72"/>
    <n v="3.7"/>
    <n v="2023"/>
    <x v="6"/>
    <s v="More than 2 hours"/>
    <x v="2"/>
    <x v="1"/>
    <x v="0"/>
    <m/>
    <n v="1"/>
    <n v="0"/>
  </r>
  <r>
    <s v="Call_7604"/>
    <x v="2"/>
    <n v="74"/>
    <x v="1"/>
    <x v="91"/>
    <n v="32"/>
    <n v="4.8"/>
    <n v="2023"/>
    <x v="6"/>
    <s v="1 to 2 hours"/>
    <x v="0"/>
    <x v="1"/>
    <x v="0"/>
    <m/>
    <n v="1"/>
    <n v="1"/>
  </r>
  <r>
    <s v="Call_7605"/>
    <x v="9"/>
    <n v="72"/>
    <x v="3"/>
    <x v="91"/>
    <n v="140"/>
    <n v="3.2"/>
    <n v="2023"/>
    <x v="6"/>
    <s v="1 to 2 hours"/>
    <x v="1"/>
    <x v="1"/>
    <x v="1"/>
    <m/>
    <n v="1"/>
    <n v="0"/>
  </r>
  <r>
    <s v="Call_7606"/>
    <x v="2"/>
    <n v="79"/>
    <x v="1"/>
    <x v="92"/>
    <n v="120"/>
    <n v="4.9000000000000004"/>
    <n v="2023"/>
    <x v="0"/>
    <s v="1 to 2 hours"/>
    <x v="0"/>
    <x v="1"/>
    <x v="0"/>
    <m/>
    <n v="1"/>
    <n v="1"/>
  </r>
  <r>
    <s v="Call_7607"/>
    <x v="11"/>
    <n v="23"/>
    <x v="1"/>
    <x v="92"/>
    <n v="86"/>
    <n v="2.2000000000000002"/>
    <n v="2023"/>
    <x v="0"/>
    <s v="10 to 30 mins"/>
    <x v="3"/>
    <x v="2"/>
    <x v="1"/>
    <m/>
    <n v="1"/>
    <n v="0"/>
  </r>
  <r>
    <s v="Call_7608"/>
    <x v="1"/>
    <n v="69"/>
    <x v="1"/>
    <x v="92"/>
    <n v="132"/>
    <n v="5"/>
    <n v="2023"/>
    <x v="0"/>
    <s v="1 to 2 hours"/>
    <x v="0"/>
    <x v="0"/>
    <x v="0"/>
    <m/>
    <n v="1"/>
    <n v="1"/>
  </r>
  <r>
    <s v="Call_7609"/>
    <x v="10"/>
    <n v="64"/>
    <x v="1"/>
    <x v="92"/>
    <n v="80"/>
    <n v="3.3"/>
    <n v="2023"/>
    <x v="0"/>
    <s v="1 to 2 hours"/>
    <x v="1"/>
    <x v="1"/>
    <x v="0"/>
    <m/>
    <n v="1"/>
    <n v="0"/>
  </r>
  <r>
    <s v="Call_7610"/>
    <x v="8"/>
    <n v="47"/>
    <x v="0"/>
    <x v="92"/>
    <n v="132"/>
    <n v="3.7"/>
    <n v="2023"/>
    <x v="0"/>
    <s v="30 to 60 mins"/>
    <x v="2"/>
    <x v="2"/>
    <x v="0"/>
    <m/>
    <n v="1"/>
    <n v="0"/>
  </r>
  <r>
    <s v="Call_7611"/>
    <x v="2"/>
    <n v="55"/>
    <x v="3"/>
    <x v="92"/>
    <n v="27"/>
    <n v="3.7"/>
    <n v="2023"/>
    <x v="0"/>
    <s v="30 to 60 mins"/>
    <x v="2"/>
    <x v="1"/>
    <x v="0"/>
    <m/>
    <n v="1"/>
    <n v="0"/>
  </r>
  <r>
    <s v="Call_7612"/>
    <x v="6"/>
    <n v="104"/>
    <x v="3"/>
    <x v="93"/>
    <n v="68"/>
    <n v="3.6"/>
    <n v="2023"/>
    <x v="1"/>
    <s v="1 to 2 hours"/>
    <x v="2"/>
    <x v="2"/>
    <x v="1"/>
    <m/>
    <n v="1"/>
    <n v="0"/>
  </r>
  <r>
    <s v="Call_7613"/>
    <x v="8"/>
    <n v="116"/>
    <x v="1"/>
    <x v="93"/>
    <n v="22"/>
    <n v="4.7"/>
    <n v="2023"/>
    <x v="1"/>
    <s v="1 to 2 hours"/>
    <x v="0"/>
    <x v="2"/>
    <x v="0"/>
    <m/>
    <n v="1"/>
    <n v="1"/>
  </r>
  <r>
    <s v="Call_7614"/>
    <x v="11"/>
    <n v="99"/>
    <x v="3"/>
    <x v="93"/>
    <n v="42"/>
    <n v="3.1"/>
    <n v="2023"/>
    <x v="1"/>
    <s v="1 to 2 hours"/>
    <x v="1"/>
    <x v="2"/>
    <x v="1"/>
    <m/>
    <n v="1"/>
    <n v="0"/>
  </r>
  <r>
    <s v="Call_7615"/>
    <x v="6"/>
    <n v="84"/>
    <x v="3"/>
    <x v="94"/>
    <n v="38"/>
    <n v="3.3"/>
    <n v="2023"/>
    <x v="2"/>
    <s v="1 to 2 hours"/>
    <x v="1"/>
    <x v="2"/>
    <x v="1"/>
    <m/>
    <n v="1"/>
    <n v="0"/>
  </r>
  <r>
    <s v="Call_7616"/>
    <x v="12"/>
    <n v="159"/>
    <x v="3"/>
    <x v="94"/>
    <n v="42"/>
    <n v="4.5"/>
    <n v="2023"/>
    <x v="2"/>
    <s v="More than 2 hours"/>
    <x v="0"/>
    <x v="0"/>
    <x v="1"/>
    <m/>
    <n v="1"/>
    <n v="1"/>
  </r>
  <r>
    <s v="Call_7617"/>
    <x v="5"/>
    <n v="25"/>
    <x v="0"/>
    <x v="94"/>
    <n v="75"/>
    <n v="3.9"/>
    <n v="2023"/>
    <x v="2"/>
    <s v="10 to 30 mins"/>
    <x v="2"/>
    <x v="2"/>
    <x v="1"/>
    <m/>
    <n v="1"/>
    <n v="0"/>
  </r>
  <r>
    <s v="Call_7618"/>
    <x v="12"/>
    <n v="53"/>
    <x v="4"/>
    <x v="95"/>
    <n v="23"/>
    <n v="4.9000000000000004"/>
    <n v="2023"/>
    <x v="3"/>
    <s v="30 to 60 mins"/>
    <x v="0"/>
    <x v="0"/>
    <x v="1"/>
    <m/>
    <n v="1"/>
    <n v="1"/>
  </r>
  <r>
    <s v="Call_7619"/>
    <x v="12"/>
    <n v="89"/>
    <x v="0"/>
    <x v="95"/>
    <n v="200"/>
    <n v="4.8"/>
    <n v="2023"/>
    <x v="3"/>
    <s v="1 to 2 hours"/>
    <x v="0"/>
    <x v="0"/>
    <x v="1"/>
    <m/>
    <n v="1"/>
    <n v="1"/>
  </r>
  <r>
    <s v="Call_7620"/>
    <x v="3"/>
    <n v="73"/>
    <x v="1"/>
    <x v="96"/>
    <n v="45"/>
    <n v="3.6"/>
    <n v="2023"/>
    <x v="4"/>
    <s v="1 to 2 hours"/>
    <x v="2"/>
    <x v="1"/>
    <x v="1"/>
    <m/>
    <n v="1"/>
    <n v="0"/>
  </r>
  <r>
    <s v="Call_7621"/>
    <x v="11"/>
    <n v="50"/>
    <x v="1"/>
    <x v="96"/>
    <n v="105"/>
    <n v="3.5"/>
    <n v="2023"/>
    <x v="4"/>
    <s v="30 to 60 mins"/>
    <x v="2"/>
    <x v="2"/>
    <x v="1"/>
    <m/>
    <n v="1"/>
    <n v="0"/>
  </r>
  <r>
    <s v="Call_7622"/>
    <x v="4"/>
    <n v="98"/>
    <x v="1"/>
    <x v="96"/>
    <n v="22"/>
    <n v="3.8"/>
    <n v="2023"/>
    <x v="4"/>
    <s v="1 to 2 hours"/>
    <x v="2"/>
    <x v="0"/>
    <x v="1"/>
    <m/>
    <n v="1"/>
    <n v="0"/>
  </r>
  <r>
    <s v="Call_7623"/>
    <x v="7"/>
    <n v="114"/>
    <x v="3"/>
    <x v="97"/>
    <n v="126"/>
    <n v="4.4000000000000004"/>
    <n v="2023"/>
    <x v="5"/>
    <s v="1 to 2 hours"/>
    <x v="2"/>
    <x v="2"/>
    <x v="1"/>
    <m/>
    <n v="1"/>
    <n v="0"/>
  </r>
  <r>
    <s v="Call_7624"/>
    <x v="10"/>
    <n v="67"/>
    <x v="3"/>
    <x v="97"/>
    <n v="35"/>
    <n v="3"/>
    <n v="2023"/>
    <x v="5"/>
    <s v="1 to 2 hours"/>
    <x v="1"/>
    <x v="1"/>
    <x v="0"/>
    <m/>
    <n v="1"/>
    <n v="0"/>
  </r>
  <r>
    <s v="Call_7625"/>
    <x v="2"/>
    <n v="91"/>
    <x v="1"/>
    <x v="97"/>
    <n v="84"/>
    <n v="4.5"/>
    <n v="2023"/>
    <x v="5"/>
    <s v="1 to 2 hours"/>
    <x v="0"/>
    <x v="1"/>
    <x v="0"/>
    <m/>
    <n v="1"/>
    <n v="1"/>
  </r>
  <r>
    <s v="Call_7626"/>
    <x v="14"/>
    <n v="67"/>
    <x v="1"/>
    <x v="98"/>
    <n v="172"/>
    <n v="4.5"/>
    <n v="2023"/>
    <x v="6"/>
    <s v="1 to 2 hours"/>
    <x v="0"/>
    <x v="2"/>
    <x v="1"/>
    <m/>
    <n v="1"/>
    <n v="1"/>
  </r>
  <r>
    <s v="Call_7627"/>
    <x v="7"/>
    <n v="139"/>
    <x v="0"/>
    <x v="98"/>
    <n v="114"/>
    <n v="4"/>
    <n v="2023"/>
    <x v="6"/>
    <s v="More than 2 hours"/>
    <x v="2"/>
    <x v="2"/>
    <x v="1"/>
    <m/>
    <n v="1"/>
    <n v="0"/>
  </r>
  <r>
    <s v="Call_7628"/>
    <x v="14"/>
    <n v="102"/>
    <x v="0"/>
    <x v="98"/>
    <n v="60"/>
    <n v="3.8"/>
    <n v="2023"/>
    <x v="6"/>
    <s v="1 to 2 hours"/>
    <x v="2"/>
    <x v="2"/>
    <x v="1"/>
    <m/>
    <n v="1"/>
    <n v="0"/>
  </r>
  <r>
    <s v="Call_7629"/>
    <x v="13"/>
    <n v="108"/>
    <x v="2"/>
    <x v="98"/>
    <n v="26"/>
    <n v="3.3"/>
    <n v="2023"/>
    <x v="6"/>
    <s v="1 to 2 hours"/>
    <x v="1"/>
    <x v="1"/>
    <x v="0"/>
    <m/>
    <n v="1"/>
    <n v="0"/>
  </r>
  <r>
    <s v="Call_7630"/>
    <x v="5"/>
    <n v="66"/>
    <x v="1"/>
    <x v="98"/>
    <n v="210"/>
    <n v="4.3"/>
    <n v="2023"/>
    <x v="6"/>
    <s v="1 to 2 hours"/>
    <x v="2"/>
    <x v="2"/>
    <x v="1"/>
    <m/>
    <n v="1"/>
    <n v="0"/>
  </r>
  <r>
    <s v="Call_7631"/>
    <x v="9"/>
    <n v="85"/>
    <x v="0"/>
    <x v="98"/>
    <n v="129"/>
    <n v="4.2"/>
    <n v="2023"/>
    <x v="6"/>
    <s v="1 to 2 hours"/>
    <x v="2"/>
    <x v="1"/>
    <x v="1"/>
    <m/>
    <n v="1"/>
    <n v="0"/>
  </r>
  <r>
    <s v="Call_7632"/>
    <x v="10"/>
    <n v="55"/>
    <x v="2"/>
    <x v="98"/>
    <n v="215"/>
    <n v="4.3"/>
    <n v="2023"/>
    <x v="6"/>
    <s v="30 to 60 mins"/>
    <x v="2"/>
    <x v="1"/>
    <x v="0"/>
    <m/>
    <n v="1"/>
    <n v="0"/>
  </r>
  <r>
    <s v="Call_7633"/>
    <x v="13"/>
    <n v="17"/>
    <x v="4"/>
    <x v="98"/>
    <n v="69"/>
    <n v="4.5999999999999996"/>
    <n v="2023"/>
    <x v="6"/>
    <s v="10 to 30 mins"/>
    <x v="0"/>
    <x v="1"/>
    <x v="0"/>
    <m/>
    <n v="1"/>
    <n v="1"/>
  </r>
  <r>
    <s v="Call_7634"/>
    <x v="10"/>
    <n v="128"/>
    <x v="4"/>
    <x v="98"/>
    <n v="140"/>
    <n v="3"/>
    <n v="2023"/>
    <x v="6"/>
    <s v="More than 2 hours"/>
    <x v="1"/>
    <x v="1"/>
    <x v="0"/>
    <m/>
    <n v="1"/>
    <n v="0"/>
  </r>
  <r>
    <s v="Call_7635"/>
    <x v="11"/>
    <n v="45"/>
    <x v="2"/>
    <x v="99"/>
    <n v="156"/>
    <n v="2.7"/>
    <n v="2023"/>
    <x v="0"/>
    <s v="30 to 60 mins"/>
    <x v="1"/>
    <x v="2"/>
    <x v="1"/>
    <m/>
    <n v="1"/>
    <n v="0"/>
  </r>
  <r>
    <s v="Call_7636"/>
    <x v="13"/>
    <n v="41"/>
    <x v="4"/>
    <x v="99"/>
    <n v="164"/>
    <n v="3.1"/>
    <n v="2023"/>
    <x v="0"/>
    <s v="30 to 60 mins"/>
    <x v="1"/>
    <x v="1"/>
    <x v="0"/>
    <m/>
    <n v="1"/>
    <n v="0"/>
  </r>
  <r>
    <s v="Call_7637"/>
    <x v="8"/>
    <n v="49"/>
    <x v="4"/>
    <x v="99"/>
    <n v="195"/>
    <n v="2.6"/>
    <n v="2023"/>
    <x v="0"/>
    <s v="30 to 60 mins"/>
    <x v="1"/>
    <x v="2"/>
    <x v="0"/>
    <m/>
    <n v="1"/>
    <n v="0"/>
  </r>
  <r>
    <s v="Call_7638"/>
    <x v="1"/>
    <n v="21"/>
    <x v="3"/>
    <x v="99"/>
    <n v="74"/>
    <n v="4.5999999999999996"/>
    <n v="2023"/>
    <x v="0"/>
    <s v="10 to 30 mins"/>
    <x v="0"/>
    <x v="0"/>
    <x v="0"/>
    <m/>
    <n v="1"/>
    <n v="1"/>
  </r>
  <r>
    <s v="Call_7639"/>
    <x v="12"/>
    <n v="133"/>
    <x v="2"/>
    <x v="99"/>
    <n v="100"/>
    <n v="4"/>
    <n v="2023"/>
    <x v="0"/>
    <s v="More than 2 hours"/>
    <x v="2"/>
    <x v="0"/>
    <x v="1"/>
    <m/>
    <n v="1"/>
    <n v="0"/>
  </r>
  <r>
    <s v="Call_7640"/>
    <x v="0"/>
    <n v="135"/>
    <x v="1"/>
    <x v="99"/>
    <n v="185"/>
    <n v="4.5"/>
    <n v="2023"/>
    <x v="0"/>
    <s v="More than 2 hours"/>
    <x v="0"/>
    <x v="0"/>
    <x v="0"/>
    <m/>
    <n v="1"/>
    <n v="1"/>
  </r>
  <r>
    <s v="Call_7641"/>
    <x v="7"/>
    <n v="69"/>
    <x v="2"/>
    <x v="99"/>
    <n v="130"/>
    <n v="1.9"/>
    <n v="2023"/>
    <x v="0"/>
    <s v="1 to 2 hours"/>
    <x v="3"/>
    <x v="2"/>
    <x v="1"/>
    <m/>
    <n v="1"/>
    <n v="0"/>
  </r>
  <r>
    <s v="Call_7642"/>
    <x v="6"/>
    <n v="110"/>
    <x v="3"/>
    <x v="100"/>
    <n v="21"/>
    <n v="2.6"/>
    <n v="2023"/>
    <x v="1"/>
    <s v="1 to 2 hours"/>
    <x v="1"/>
    <x v="2"/>
    <x v="1"/>
    <m/>
    <n v="1"/>
    <n v="0"/>
  </r>
  <r>
    <s v="Call_7643"/>
    <x v="14"/>
    <n v="64"/>
    <x v="0"/>
    <x v="100"/>
    <n v="88"/>
    <n v="4.3"/>
    <n v="2023"/>
    <x v="1"/>
    <s v="1 to 2 hours"/>
    <x v="2"/>
    <x v="2"/>
    <x v="1"/>
    <m/>
    <n v="1"/>
    <n v="0"/>
  </r>
  <r>
    <s v="Call_7644"/>
    <x v="2"/>
    <n v="105"/>
    <x v="4"/>
    <x v="100"/>
    <n v="35"/>
    <n v="4.4000000000000004"/>
    <n v="2023"/>
    <x v="1"/>
    <s v="1 to 2 hours"/>
    <x v="2"/>
    <x v="1"/>
    <x v="0"/>
    <m/>
    <n v="1"/>
    <n v="0"/>
  </r>
  <r>
    <s v="Call_7645"/>
    <x v="14"/>
    <n v="165"/>
    <x v="1"/>
    <x v="100"/>
    <n v="68"/>
    <n v="4.3"/>
    <n v="2023"/>
    <x v="1"/>
    <s v="More than 2 hours"/>
    <x v="2"/>
    <x v="2"/>
    <x v="1"/>
    <m/>
    <n v="1"/>
    <n v="0"/>
  </r>
  <r>
    <s v="Call_7646"/>
    <x v="11"/>
    <n v="125"/>
    <x v="1"/>
    <x v="100"/>
    <n v="148"/>
    <n v="4.5"/>
    <n v="2023"/>
    <x v="1"/>
    <s v="More than 2 hours"/>
    <x v="0"/>
    <x v="2"/>
    <x v="1"/>
    <m/>
    <n v="1"/>
    <n v="1"/>
  </r>
  <r>
    <s v="Call_7647"/>
    <x v="2"/>
    <n v="88"/>
    <x v="0"/>
    <x v="101"/>
    <n v="81"/>
    <n v="4.2"/>
    <n v="2023"/>
    <x v="2"/>
    <s v="1 to 2 hours"/>
    <x v="2"/>
    <x v="1"/>
    <x v="0"/>
    <m/>
    <n v="1"/>
    <n v="0"/>
  </r>
  <r>
    <s v="Call_7648"/>
    <x v="7"/>
    <n v="6"/>
    <x v="0"/>
    <x v="101"/>
    <n v="75"/>
    <n v="3.9"/>
    <n v="2023"/>
    <x v="2"/>
    <s v="Under 10 mins"/>
    <x v="2"/>
    <x v="2"/>
    <x v="1"/>
    <m/>
    <n v="1"/>
    <n v="0"/>
  </r>
  <r>
    <s v="Call_7649"/>
    <x v="9"/>
    <n v="69"/>
    <x v="2"/>
    <x v="102"/>
    <n v="32"/>
    <n v="3.6"/>
    <n v="2023"/>
    <x v="3"/>
    <s v="1 to 2 hours"/>
    <x v="2"/>
    <x v="1"/>
    <x v="1"/>
    <m/>
    <n v="1"/>
    <n v="0"/>
  </r>
  <r>
    <s v="Call_7650"/>
    <x v="13"/>
    <n v="107"/>
    <x v="2"/>
    <x v="102"/>
    <n v="156"/>
    <n v="3.8"/>
    <n v="2023"/>
    <x v="3"/>
    <s v="1 to 2 hours"/>
    <x v="2"/>
    <x v="1"/>
    <x v="0"/>
    <m/>
    <n v="1"/>
    <n v="0"/>
  </r>
  <r>
    <s v="Call_7651"/>
    <x v="1"/>
    <n v="90"/>
    <x v="1"/>
    <x v="102"/>
    <n v="99"/>
    <n v="4.9000000000000004"/>
    <n v="2023"/>
    <x v="3"/>
    <s v="1 to 2 hours"/>
    <x v="0"/>
    <x v="0"/>
    <x v="0"/>
    <m/>
    <n v="1"/>
    <n v="1"/>
  </r>
  <r>
    <s v="Call_7652"/>
    <x v="0"/>
    <n v="120"/>
    <x v="4"/>
    <x v="102"/>
    <n v="26"/>
    <n v="4"/>
    <n v="2023"/>
    <x v="3"/>
    <s v="1 to 2 hours"/>
    <x v="2"/>
    <x v="0"/>
    <x v="0"/>
    <m/>
    <n v="1"/>
    <n v="0"/>
  </r>
  <r>
    <s v="Call_7653"/>
    <x v="4"/>
    <n v="47"/>
    <x v="2"/>
    <x v="102"/>
    <n v="84"/>
    <n v="4.0999999999999996"/>
    <n v="2023"/>
    <x v="3"/>
    <s v="30 to 60 mins"/>
    <x v="2"/>
    <x v="0"/>
    <x v="1"/>
    <m/>
    <n v="1"/>
    <n v="0"/>
  </r>
  <r>
    <s v="Call_7654"/>
    <x v="3"/>
    <n v="60"/>
    <x v="4"/>
    <x v="102"/>
    <n v="84"/>
    <n v="4.8"/>
    <n v="2023"/>
    <x v="3"/>
    <s v="30 to 60 mins"/>
    <x v="0"/>
    <x v="1"/>
    <x v="1"/>
    <m/>
    <n v="1"/>
    <n v="1"/>
  </r>
  <r>
    <s v="Call_7655"/>
    <x v="10"/>
    <n v="64"/>
    <x v="1"/>
    <x v="102"/>
    <n v="170"/>
    <n v="2.2999999999999998"/>
    <n v="2023"/>
    <x v="3"/>
    <s v="1 to 2 hours"/>
    <x v="3"/>
    <x v="1"/>
    <x v="0"/>
    <m/>
    <n v="1"/>
    <n v="0"/>
  </r>
  <r>
    <s v="Call_7656"/>
    <x v="14"/>
    <n v="62"/>
    <x v="2"/>
    <x v="102"/>
    <n v="35"/>
    <n v="4.4000000000000004"/>
    <n v="2023"/>
    <x v="3"/>
    <s v="1 to 2 hours"/>
    <x v="2"/>
    <x v="2"/>
    <x v="1"/>
    <m/>
    <n v="1"/>
    <n v="0"/>
  </r>
  <r>
    <s v="Call_7657"/>
    <x v="6"/>
    <n v="88"/>
    <x v="2"/>
    <x v="103"/>
    <n v="35"/>
    <n v="3.8"/>
    <n v="2023"/>
    <x v="4"/>
    <s v="1 to 2 hours"/>
    <x v="2"/>
    <x v="2"/>
    <x v="1"/>
    <m/>
    <n v="1"/>
    <n v="0"/>
  </r>
  <r>
    <s v="Call_7658"/>
    <x v="11"/>
    <n v="116"/>
    <x v="2"/>
    <x v="103"/>
    <n v="132"/>
    <n v="5"/>
    <n v="2023"/>
    <x v="4"/>
    <s v="1 to 2 hours"/>
    <x v="0"/>
    <x v="2"/>
    <x v="1"/>
    <m/>
    <n v="1"/>
    <n v="1"/>
  </r>
  <r>
    <s v="Call_7659"/>
    <x v="1"/>
    <n v="82"/>
    <x v="0"/>
    <x v="104"/>
    <n v="144"/>
    <n v="3.3"/>
    <n v="2023"/>
    <x v="5"/>
    <s v="1 to 2 hours"/>
    <x v="1"/>
    <x v="0"/>
    <x v="0"/>
    <m/>
    <n v="1"/>
    <n v="0"/>
  </r>
  <r>
    <s v="Call_7660"/>
    <x v="14"/>
    <n v="99"/>
    <x v="1"/>
    <x v="104"/>
    <n v="48"/>
    <n v="5"/>
    <n v="2023"/>
    <x v="5"/>
    <s v="1 to 2 hours"/>
    <x v="0"/>
    <x v="2"/>
    <x v="1"/>
    <m/>
    <n v="1"/>
    <n v="1"/>
  </r>
  <r>
    <s v="Call_7661"/>
    <x v="14"/>
    <n v="55"/>
    <x v="0"/>
    <x v="104"/>
    <n v="200"/>
    <n v="2.2999999999999998"/>
    <n v="2023"/>
    <x v="5"/>
    <s v="30 to 60 mins"/>
    <x v="3"/>
    <x v="2"/>
    <x v="1"/>
    <m/>
    <n v="1"/>
    <n v="0"/>
  </r>
  <r>
    <s v="Call_7662"/>
    <x v="10"/>
    <n v="61"/>
    <x v="4"/>
    <x v="104"/>
    <n v="38"/>
    <n v="4.8"/>
    <n v="2023"/>
    <x v="5"/>
    <s v="1 to 2 hours"/>
    <x v="0"/>
    <x v="1"/>
    <x v="0"/>
    <m/>
    <n v="1"/>
    <n v="1"/>
  </r>
  <r>
    <s v="Call_7663"/>
    <x v="11"/>
    <n v="36"/>
    <x v="3"/>
    <x v="104"/>
    <n v="81"/>
    <n v="3.7"/>
    <n v="2023"/>
    <x v="5"/>
    <s v="30 to 60 mins"/>
    <x v="2"/>
    <x v="2"/>
    <x v="1"/>
    <m/>
    <n v="1"/>
    <n v="0"/>
  </r>
  <r>
    <s v="Call_7664"/>
    <x v="1"/>
    <n v="123"/>
    <x v="2"/>
    <x v="104"/>
    <n v="120"/>
    <n v="4.2"/>
    <n v="2023"/>
    <x v="5"/>
    <s v="More than 2 hours"/>
    <x v="2"/>
    <x v="0"/>
    <x v="0"/>
    <m/>
    <n v="1"/>
    <n v="0"/>
  </r>
  <r>
    <s v="Call_7665"/>
    <x v="8"/>
    <n v="24"/>
    <x v="4"/>
    <x v="104"/>
    <n v="74"/>
    <n v="4.8"/>
    <n v="2023"/>
    <x v="5"/>
    <s v="10 to 30 mins"/>
    <x v="0"/>
    <x v="2"/>
    <x v="0"/>
    <m/>
    <n v="1"/>
    <n v="1"/>
  </r>
  <r>
    <s v="Call_7666"/>
    <x v="1"/>
    <n v="43"/>
    <x v="2"/>
    <x v="105"/>
    <n v="128"/>
    <n v="4.7"/>
    <n v="2023"/>
    <x v="6"/>
    <s v="30 to 60 mins"/>
    <x v="0"/>
    <x v="0"/>
    <x v="0"/>
    <m/>
    <n v="1"/>
    <n v="1"/>
  </r>
  <r>
    <s v="Call_7667"/>
    <x v="3"/>
    <n v="95"/>
    <x v="1"/>
    <x v="105"/>
    <n v="21"/>
    <n v="3.9"/>
    <n v="2023"/>
    <x v="6"/>
    <s v="1 to 2 hours"/>
    <x v="2"/>
    <x v="1"/>
    <x v="1"/>
    <m/>
    <n v="1"/>
    <n v="0"/>
  </r>
  <r>
    <s v="Call_7668"/>
    <x v="14"/>
    <n v="53"/>
    <x v="2"/>
    <x v="105"/>
    <n v="110"/>
    <n v="4.3"/>
    <n v="2023"/>
    <x v="6"/>
    <s v="30 to 60 mins"/>
    <x v="2"/>
    <x v="2"/>
    <x v="1"/>
    <m/>
    <n v="1"/>
    <n v="0"/>
  </r>
  <r>
    <s v="Call_7669"/>
    <x v="1"/>
    <n v="113"/>
    <x v="2"/>
    <x v="105"/>
    <n v="145"/>
    <n v="4"/>
    <n v="2023"/>
    <x v="6"/>
    <s v="1 to 2 hours"/>
    <x v="2"/>
    <x v="0"/>
    <x v="0"/>
    <m/>
    <n v="1"/>
    <n v="0"/>
  </r>
  <r>
    <s v="Call_7670"/>
    <x v="14"/>
    <n v="89"/>
    <x v="3"/>
    <x v="105"/>
    <n v="129"/>
    <n v="4"/>
    <n v="2023"/>
    <x v="6"/>
    <s v="1 to 2 hours"/>
    <x v="2"/>
    <x v="2"/>
    <x v="1"/>
    <m/>
    <n v="1"/>
    <n v="0"/>
  </r>
  <r>
    <s v="Call_7671"/>
    <x v="6"/>
    <n v="84"/>
    <x v="0"/>
    <x v="105"/>
    <n v="156"/>
    <n v="3.2"/>
    <n v="2023"/>
    <x v="6"/>
    <s v="1 to 2 hours"/>
    <x v="1"/>
    <x v="2"/>
    <x v="1"/>
    <m/>
    <n v="1"/>
    <n v="0"/>
  </r>
  <r>
    <s v="Call_7672"/>
    <x v="8"/>
    <n v="130"/>
    <x v="2"/>
    <x v="106"/>
    <n v="120"/>
    <n v="3.8"/>
    <n v="2023"/>
    <x v="0"/>
    <s v="More than 2 hours"/>
    <x v="2"/>
    <x v="2"/>
    <x v="0"/>
    <m/>
    <n v="1"/>
    <n v="0"/>
  </r>
  <r>
    <s v="Call_7673"/>
    <x v="3"/>
    <n v="163"/>
    <x v="3"/>
    <x v="106"/>
    <n v="62"/>
    <n v="3.4"/>
    <n v="2023"/>
    <x v="0"/>
    <s v="More than 2 hours"/>
    <x v="1"/>
    <x v="1"/>
    <x v="1"/>
    <m/>
    <n v="1"/>
    <n v="0"/>
  </r>
  <r>
    <s v="Call_7674"/>
    <x v="9"/>
    <n v="127"/>
    <x v="2"/>
    <x v="106"/>
    <n v="160"/>
    <n v="3.2"/>
    <n v="2023"/>
    <x v="0"/>
    <s v="More than 2 hours"/>
    <x v="1"/>
    <x v="1"/>
    <x v="1"/>
    <m/>
    <n v="1"/>
    <n v="0"/>
  </r>
  <r>
    <s v="Call_7675"/>
    <x v="1"/>
    <n v="50"/>
    <x v="2"/>
    <x v="106"/>
    <n v="56"/>
    <n v="4.7"/>
    <n v="2023"/>
    <x v="0"/>
    <s v="30 to 60 mins"/>
    <x v="0"/>
    <x v="0"/>
    <x v="0"/>
    <m/>
    <n v="1"/>
    <n v="1"/>
  </r>
  <r>
    <s v="Call_7676"/>
    <x v="5"/>
    <n v="88"/>
    <x v="4"/>
    <x v="106"/>
    <n v="72"/>
    <n v="4"/>
    <n v="2023"/>
    <x v="0"/>
    <s v="1 to 2 hours"/>
    <x v="2"/>
    <x v="2"/>
    <x v="1"/>
    <m/>
    <n v="1"/>
    <n v="0"/>
  </r>
  <r>
    <s v="Call_7677"/>
    <x v="1"/>
    <n v="139"/>
    <x v="1"/>
    <x v="107"/>
    <n v="81"/>
    <n v="4.8"/>
    <n v="2023"/>
    <x v="1"/>
    <s v="More than 2 hours"/>
    <x v="0"/>
    <x v="0"/>
    <x v="0"/>
    <m/>
    <n v="1"/>
    <n v="1"/>
  </r>
  <r>
    <s v="Call_7678"/>
    <x v="3"/>
    <n v="111"/>
    <x v="2"/>
    <x v="107"/>
    <n v="144"/>
    <n v="3.9"/>
    <n v="2023"/>
    <x v="1"/>
    <s v="1 to 2 hours"/>
    <x v="2"/>
    <x v="1"/>
    <x v="1"/>
    <m/>
    <n v="1"/>
    <n v="0"/>
  </r>
  <r>
    <s v="Call_7679"/>
    <x v="2"/>
    <n v="115"/>
    <x v="1"/>
    <x v="107"/>
    <n v="111"/>
    <n v="4.3"/>
    <n v="2023"/>
    <x v="1"/>
    <s v="1 to 2 hours"/>
    <x v="2"/>
    <x v="1"/>
    <x v="0"/>
    <m/>
    <n v="1"/>
    <n v="0"/>
  </r>
  <r>
    <s v="Call_7680"/>
    <x v="14"/>
    <n v="26"/>
    <x v="3"/>
    <x v="107"/>
    <n v="43"/>
    <n v="4.2"/>
    <n v="2023"/>
    <x v="1"/>
    <s v="10 to 30 mins"/>
    <x v="2"/>
    <x v="2"/>
    <x v="1"/>
    <m/>
    <n v="1"/>
    <n v="0"/>
  </r>
  <r>
    <s v="Call_7681"/>
    <x v="6"/>
    <n v="131"/>
    <x v="4"/>
    <x v="107"/>
    <n v="41"/>
    <n v="4.9000000000000004"/>
    <n v="2023"/>
    <x v="1"/>
    <s v="More than 2 hours"/>
    <x v="0"/>
    <x v="2"/>
    <x v="1"/>
    <m/>
    <n v="1"/>
    <n v="1"/>
  </r>
  <r>
    <s v="Call_7682"/>
    <x v="2"/>
    <n v="27"/>
    <x v="4"/>
    <x v="107"/>
    <n v="74"/>
    <n v="4"/>
    <n v="2023"/>
    <x v="1"/>
    <s v="10 to 30 mins"/>
    <x v="2"/>
    <x v="1"/>
    <x v="0"/>
    <m/>
    <n v="1"/>
    <n v="0"/>
  </r>
  <r>
    <s v="Call_7683"/>
    <x v="12"/>
    <n v="75"/>
    <x v="2"/>
    <x v="107"/>
    <n v="43"/>
    <n v="4.9000000000000004"/>
    <n v="2023"/>
    <x v="1"/>
    <s v="1 to 2 hours"/>
    <x v="0"/>
    <x v="0"/>
    <x v="1"/>
    <m/>
    <n v="1"/>
    <n v="1"/>
  </r>
  <r>
    <s v="Call_7684"/>
    <x v="10"/>
    <n v="123"/>
    <x v="4"/>
    <x v="107"/>
    <n v="128"/>
    <n v="3.6"/>
    <n v="2023"/>
    <x v="1"/>
    <s v="More than 2 hours"/>
    <x v="2"/>
    <x v="1"/>
    <x v="0"/>
    <m/>
    <n v="1"/>
    <n v="0"/>
  </r>
  <r>
    <s v="Call_7685"/>
    <x v="0"/>
    <n v="129"/>
    <x v="4"/>
    <x v="108"/>
    <n v="144"/>
    <n v="4.0999999999999996"/>
    <n v="2023"/>
    <x v="2"/>
    <s v="More than 2 hours"/>
    <x v="2"/>
    <x v="0"/>
    <x v="0"/>
    <m/>
    <n v="1"/>
    <n v="0"/>
  </r>
  <r>
    <s v="Call_7686"/>
    <x v="12"/>
    <n v="124"/>
    <x v="1"/>
    <x v="108"/>
    <n v="132"/>
    <n v="4.9000000000000004"/>
    <n v="2023"/>
    <x v="2"/>
    <s v="More than 2 hours"/>
    <x v="0"/>
    <x v="0"/>
    <x v="1"/>
    <m/>
    <n v="1"/>
    <n v="1"/>
  </r>
  <r>
    <s v="Call_7687"/>
    <x v="2"/>
    <n v="108"/>
    <x v="1"/>
    <x v="108"/>
    <n v="180"/>
    <n v="3.9"/>
    <n v="2023"/>
    <x v="2"/>
    <s v="1 to 2 hours"/>
    <x v="2"/>
    <x v="1"/>
    <x v="0"/>
    <m/>
    <n v="1"/>
    <n v="0"/>
  </r>
  <r>
    <s v="Call_7688"/>
    <x v="4"/>
    <n v="15"/>
    <x v="1"/>
    <x v="108"/>
    <n v="31"/>
    <n v="4.0999999999999996"/>
    <n v="2023"/>
    <x v="2"/>
    <s v="10 to 30 mins"/>
    <x v="2"/>
    <x v="0"/>
    <x v="1"/>
    <m/>
    <n v="1"/>
    <n v="0"/>
  </r>
  <r>
    <s v="Call_7689"/>
    <x v="2"/>
    <n v="66"/>
    <x v="1"/>
    <x v="108"/>
    <n v="102"/>
    <n v="3.8"/>
    <n v="2023"/>
    <x v="2"/>
    <s v="1 to 2 hours"/>
    <x v="2"/>
    <x v="1"/>
    <x v="0"/>
    <m/>
    <n v="1"/>
    <n v="0"/>
  </r>
  <r>
    <s v="Call_7690"/>
    <x v="5"/>
    <n v="126"/>
    <x v="2"/>
    <x v="109"/>
    <n v="175"/>
    <n v="4.8"/>
    <n v="2023"/>
    <x v="3"/>
    <s v="More than 2 hours"/>
    <x v="0"/>
    <x v="2"/>
    <x v="1"/>
    <m/>
    <n v="1"/>
    <n v="1"/>
  </r>
  <r>
    <s v="Call_7691"/>
    <x v="12"/>
    <n v="26"/>
    <x v="0"/>
    <x v="109"/>
    <n v="87"/>
    <n v="4.7"/>
    <n v="2023"/>
    <x v="3"/>
    <s v="10 to 30 mins"/>
    <x v="0"/>
    <x v="0"/>
    <x v="1"/>
    <m/>
    <n v="1"/>
    <n v="1"/>
  </r>
  <r>
    <s v="Call_7692"/>
    <x v="8"/>
    <n v="105"/>
    <x v="2"/>
    <x v="109"/>
    <n v="66"/>
    <n v="4.2"/>
    <n v="2023"/>
    <x v="3"/>
    <s v="1 to 2 hours"/>
    <x v="2"/>
    <x v="2"/>
    <x v="0"/>
    <m/>
    <n v="1"/>
    <n v="0"/>
  </r>
  <r>
    <s v="Call_7693"/>
    <x v="8"/>
    <n v="31"/>
    <x v="2"/>
    <x v="109"/>
    <n v="25"/>
    <n v="3.2"/>
    <n v="2023"/>
    <x v="3"/>
    <s v="30 to 60 mins"/>
    <x v="1"/>
    <x v="2"/>
    <x v="0"/>
    <m/>
    <n v="1"/>
    <n v="0"/>
  </r>
  <r>
    <s v="Call_7694"/>
    <x v="2"/>
    <n v="109"/>
    <x v="1"/>
    <x v="109"/>
    <n v="126"/>
    <n v="3.4"/>
    <n v="2023"/>
    <x v="3"/>
    <s v="1 to 2 hours"/>
    <x v="1"/>
    <x v="1"/>
    <x v="0"/>
    <m/>
    <n v="1"/>
    <n v="0"/>
  </r>
  <r>
    <s v="Call_7695"/>
    <x v="0"/>
    <n v="113"/>
    <x v="3"/>
    <x v="110"/>
    <n v="42"/>
    <n v="4.5999999999999996"/>
    <n v="2023"/>
    <x v="4"/>
    <s v="1 to 2 hours"/>
    <x v="0"/>
    <x v="0"/>
    <x v="0"/>
    <m/>
    <n v="1"/>
    <n v="1"/>
  </r>
  <r>
    <s v="Call_7696"/>
    <x v="5"/>
    <n v="101"/>
    <x v="0"/>
    <x v="110"/>
    <n v="225"/>
    <n v="1.9"/>
    <n v="2023"/>
    <x v="4"/>
    <s v="1 to 2 hours"/>
    <x v="3"/>
    <x v="2"/>
    <x v="1"/>
    <m/>
    <n v="1"/>
    <n v="0"/>
  </r>
  <r>
    <s v="Call_7697"/>
    <x v="3"/>
    <n v="156"/>
    <x v="0"/>
    <x v="110"/>
    <n v="42"/>
    <n v="3.3"/>
    <n v="2023"/>
    <x v="4"/>
    <s v="More than 2 hours"/>
    <x v="1"/>
    <x v="1"/>
    <x v="1"/>
    <m/>
    <n v="1"/>
    <n v="0"/>
  </r>
  <r>
    <s v="Call_7698"/>
    <x v="2"/>
    <n v="145"/>
    <x v="3"/>
    <x v="111"/>
    <n v="110"/>
    <n v="3.1"/>
    <n v="2023"/>
    <x v="5"/>
    <s v="More than 2 hours"/>
    <x v="1"/>
    <x v="1"/>
    <x v="0"/>
    <m/>
    <n v="1"/>
    <n v="0"/>
  </r>
  <r>
    <s v="Call_7699"/>
    <x v="10"/>
    <n v="36"/>
    <x v="1"/>
    <x v="111"/>
    <n v="225"/>
    <n v="4.8"/>
    <n v="2023"/>
    <x v="5"/>
    <s v="30 to 60 mins"/>
    <x v="0"/>
    <x v="1"/>
    <x v="0"/>
    <m/>
    <n v="1"/>
    <n v="1"/>
  </r>
  <r>
    <s v="Call_7700"/>
    <x v="8"/>
    <n v="135"/>
    <x v="4"/>
    <x v="112"/>
    <n v="125"/>
    <n v="3.3"/>
    <n v="2023"/>
    <x v="6"/>
    <s v="More than 2 hours"/>
    <x v="1"/>
    <x v="2"/>
    <x v="0"/>
    <m/>
    <n v="1"/>
    <n v="0"/>
  </r>
  <r>
    <s v="Call_7701"/>
    <x v="5"/>
    <n v="81"/>
    <x v="1"/>
    <x v="112"/>
    <n v="78"/>
    <n v="2.9"/>
    <n v="2023"/>
    <x v="6"/>
    <s v="1 to 2 hours"/>
    <x v="1"/>
    <x v="2"/>
    <x v="1"/>
    <m/>
    <n v="1"/>
    <n v="0"/>
  </r>
  <r>
    <s v="Call_7702"/>
    <x v="5"/>
    <n v="81"/>
    <x v="3"/>
    <x v="112"/>
    <n v="40"/>
    <n v="2.4"/>
    <n v="2023"/>
    <x v="6"/>
    <s v="1 to 2 hours"/>
    <x v="3"/>
    <x v="2"/>
    <x v="1"/>
    <m/>
    <n v="1"/>
    <n v="0"/>
  </r>
  <r>
    <s v="Call_7703"/>
    <x v="9"/>
    <n v="93"/>
    <x v="2"/>
    <x v="112"/>
    <n v="150"/>
    <n v="4.5999999999999996"/>
    <n v="2023"/>
    <x v="6"/>
    <s v="1 to 2 hours"/>
    <x v="0"/>
    <x v="1"/>
    <x v="1"/>
    <m/>
    <n v="1"/>
    <n v="1"/>
  </r>
  <r>
    <s v="Call_7704"/>
    <x v="2"/>
    <n v="14"/>
    <x v="1"/>
    <x v="112"/>
    <n v="96"/>
    <n v="4.8"/>
    <n v="2023"/>
    <x v="6"/>
    <s v="10 to 30 mins"/>
    <x v="0"/>
    <x v="1"/>
    <x v="0"/>
    <m/>
    <n v="1"/>
    <n v="1"/>
  </r>
  <r>
    <s v="Call_7705"/>
    <x v="8"/>
    <n v="95"/>
    <x v="3"/>
    <x v="113"/>
    <n v="75"/>
    <n v="4.8"/>
    <n v="2023"/>
    <x v="0"/>
    <s v="1 to 2 hours"/>
    <x v="0"/>
    <x v="2"/>
    <x v="0"/>
    <m/>
    <n v="1"/>
    <n v="1"/>
  </r>
  <r>
    <s v="Call_7706"/>
    <x v="9"/>
    <n v="81"/>
    <x v="3"/>
    <x v="113"/>
    <n v="60"/>
    <n v="3.6"/>
    <n v="2023"/>
    <x v="0"/>
    <s v="1 to 2 hours"/>
    <x v="2"/>
    <x v="1"/>
    <x v="1"/>
    <m/>
    <n v="1"/>
    <n v="0"/>
  </r>
  <r>
    <s v="Call_7707"/>
    <x v="14"/>
    <n v="60"/>
    <x v="1"/>
    <x v="114"/>
    <n v="41"/>
    <n v="4.8"/>
    <n v="2023"/>
    <x v="1"/>
    <s v="30 to 60 mins"/>
    <x v="0"/>
    <x v="2"/>
    <x v="1"/>
    <m/>
    <n v="1"/>
    <n v="1"/>
  </r>
  <r>
    <s v="Call_7708"/>
    <x v="7"/>
    <n v="137"/>
    <x v="2"/>
    <x v="114"/>
    <n v="20"/>
    <n v="4.2"/>
    <n v="2023"/>
    <x v="1"/>
    <s v="More than 2 hours"/>
    <x v="2"/>
    <x v="2"/>
    <x v="1"/>
    <m/>
    <n v="1"/>
    <n v="0"/>
  </r>
  <r>
    <s v="Call_7709"/>
    <x v="1"/>
    <n v="112"/>
    <x v="4"/>
    <x v="114"/>
    <n v="84"/>
    <n v="2.6"/>
    <n v="2023"/>
    <x v="1"/>
    <s v="1 to 2 hours"/>
    <x v="1"/>
    <x v="0"/>
    <x v="0"/>
    <m/>
    <n v="1"/>
    <n v="0"/>
  </r>
  <r>
    <s v="Call_7710"/>
    <x v="8"/>
    <n v="76"/>
    <x v="0"/>
    <x v="114"/>
    <n v="140"/>
    <n v="3.7"/>
    <n v="2023"/>
    <x v="1"/>
    <s v="1 to 2 hours"/>
    <x v="2"/>
    <x v="2"/>
    <x v="0"/>
    <m/>
    <n v="1"/>
    <n v="0"/>
  </r>
  <r>
    <s v="Call_7711"/>
    <x v="11"/>
    <n v="73"/>
    <x v="1"/>
    <x v="114"/>
    <n v="66"/>
    <n v="4.8"/>
    <n v="2023"/>
    <x v="1"/>
    <s v="1 to 2 hours"/>
    <x v="0"/>
    <x v="2"/>
    <x v="1"/>
    <m/>
    <n v="1"/>
    <n v="1"/>
  </r>
  <r>
    <s v="Call_7712"/>
    <x v="6"/>
    <n v="119"/>
    <x v="2"/>
    <x v="114"/>
    <n v="105"/>
    <n v="4.7"/>
    <n v="2023"/>
    <x v="1"/>
    <s v="1 to 2 hours"/>
    <x v="0"/>
    <x v="2"/>
    <x v="1"/>
    <m/>
    <n v="1"/>
    <n v="1"/>
  </r>
  <r>
    <s v="Call_7713"/>
    <x v="0"/>
    <n v="135"/>
    <x v="3"/>
    <x v="115"/>
    <n v="104"/>
    <n v="4.0999999999999996"/>
    <n v="2023"/>
    <x v="2"/>
    <s v="More than 2 hours"/>
    <x v="2"/>
    <x v="0"/>
    <x v="0"/>
    <m/>
    <n v="1"/>
    <n v="0"/>
  </r>
  <r>
    <s v="Call_7714"/>
    <x v="7"/>
    <n v="41"/>
    <x v="4"/>
    <x v="115"/>
    <n v="123"/>
    <n v="3.2"/>
    <n v="2023"/>
    <x v="2"/>
    <s v="30 to 60 mins"/>
    <x v="1"/>
    <x v="2"/>
    <x v="1"/>
    <m/>
    <n v="1"/>
    <n v="0"/>
  </r>
  <r>
    <s v="Call_7715"/>
    <x v="2"/>
    <n v="35"/>
    <x v="3"/>
    <x v="116"/>
    <n v="215"/>
    <n v="4.3"/>
    <n v="2023"/>
    <x v="3"/>
    <s v="30 to 60 mins"/>
    <x v="2"/>
    <x v="1"/>
    <x v="0"/>
    <m/>
    <n v="1"/>
    <n v="0"/>
  </r>
  <r>
    <s v="Call_7716"/>
    <x v="0"/>
    <n v="96"/>
    <x v="1"/>
    <x v="116"/>
    <n v="46"/>
    <n v="0.7"/>
    <n v="2023"/>
    <x v="3"/>
    <s v="1 to 2 hours"/>
    <x v="5"/>
    <x v="0"/>
    <x v="0"/>
    <m/>
    <n v="1"/>
    <n v="0"/>
  </r>
  <r>
    <s v="Call_7717"/>
    <x v="9"/>
    <n v="61"/>
    <x v="4"/>
    <x v="116"/>
    <n v="115"/>
    <n v="3.7"/>
    <n v="2023"/>
    <x v="3"/>
    <s v="1 to 2 hours"/>
    <x v="2"/>
    <x v="1"/>
    <x v="1"/>
    <m/>
    <n v="1"/>
    <n v="0"/>
  </r>
  <r>
    <s v="Call_7718"/>
    <x v="0"/>
    <n v="91"/>
    <x v="4"/>
    <x v="116"/>
    <n v="124"/>
    <n v="3.9"/>
    <n v="2023"/>
    <x v="3"/>
    <s v="1 to 2 hours"/>
    <x v="2"/>
    <x v="0"/>
    <x v="0"/>
    <m/>
    <n v="1"/>
    <n v="0"/>
  </r>
  <r>
    <s v="Call_7719"/>
    <x v="13"/>
    <n v="30"/>
    <x v="4"/>
    <x v="117"/>
    <n v="205"/>
    <n v="4.5"/>
    <n v="2023"/>
    <x v="4"/>
    <s v="10 to 30 mins"/>
    <x v="0"/>
    <x v="1"/>
    <x v="0"/>
    <m/>
    <n v="1"/>
    <n v="1"/>
  </r>
  <r>
    <s v="Call_7720"/>
    <x v="14"/>
    <n v="111"/>
    <x v="2"/>
    <x v="117"/>
    <n v="90"/>
    <n v="2.8"/>
    <n v="2023"/>
    <x v="4"/>
    <s v="1 to 2 hours"/>
    <x v="1"/>
    <x v="2"/>
    <x v="1"/>
    <m/>
    <n v="1"/>
    <n v="0"/>
  </r>
  <r>
    <s v="Call_7721"/>
    <x v="9"/>
    <n v="81"/>
    <x v="1"/>
    <x v="117"/>
    <n v="92"/>
    <n v="4.9000000000000004"/>
    <n v="2023"/>
    <x v="4"/>
    <s v="1 to 2 hours"/>
    <x v="0"/>
    <x v="1"/>
    <x v="1"/>
    <m/>
    <n v="1"/>
    <n v="1"/>
  </r>
  <r>
    <s v="Call_7722"/>
    <x v="8"/>
    <n v="40"/>
    <x v="3"/>
    <x v="118"/>
    <n v="108"/>
    <n v="4.2"/>
    <n v="2023"/>
    <x v="6"/>
    <s v="30 to 60 mins"/>
    <x v="2"/>
    <x v="2"/>
    <x v="0"/>
    <m/>
    <n v="1"/>
    <n v="0"/>
  </r>
  <r>
    <s v="Call_7723"/>
    <x v="14"/>
    <n v="143"/>
    <x v="3"/>
    <x v="118"/>
    <n v="54"/>
    <n v="4.4000000000000004"/>
    <n v="2023"/>
    <x v="6"/>
    <s v="More than 2 hours"/>
    <x v="2"/>
    <x v="2"/>
    <x v="1"/>
    <m/>
    <n v="1"/>
    <n v="0"/>
  </r>
  <r>
    <s v="Call_7724"/>
    <x v="8"/>
    <n v="70"/>
    <x v="3"/>
    <x v="119"/>
    <n v="44"/>
    <n v="3.5"/>
    <n v="2023"/>
    <x v="0"/>
    <s v="1 to 2 hours"/>
    <x v="2"/>
    <x v="2"/>
    <x v="0"/>
    <m/>
    <n v="1"/>
    <n v="0"/>
  </r>
  <r>
    <s v="Call_7725"/>
    <x v="11"/>
    <n v="137"/>
    <x v="3"/>
    <x v="119"/>
    <n v="44"/>
    <n v="4.7"/>
    <n v="2023"/>
    <x v="0"/>
    <s v="More than 2 hours"/>
    <x v="0"/>
    <x v="2"/>
    <x v="1"/>
    <m/>
    <n v="1"/>
    <n v="1"/>
  </r>
  <r>
    <s v="Call_7726"/>
    <x v="0"/>
    <n v="52"/>
    <x v="1"/>
    <x v="120"/>
    <n v="37"/>
    <n v="4.9000000000000004"/>
    <n v="2023"/>
    <x v="1"/>
    <s v="30 to 60 mins"/>
    <x v="0"/>
    <x v="0"/>
    <x v="0"/>
    <m/>
    <n v="1"/>
    <n v="1"/>
  </r>
  <r>
    <s v="Call_7727"/>
    <x v="1"/>
    <n v="31"/>
    <x v="2"/>
    <x v="120"/>
    <n v="180"/>
    <n v="4.5"/>
    <n v="2023"/>
    <x v="1"/>
    <s v="30 to 60 mins"/>
    <x v="0"/>
    <x v="0"/>
    <x v="0"/>
    <m/>
    <n v="1"/>
    <n v="1"/>
  </r>
  <r>
    <s v="Call_7728"/>
    <x v="0"/>
    <n v="114"/>
    <x v="4"/>
    <x v="120"/>
    <n v="105"/>
    <n v="4.9000000000000004"/>
    <n v="2023"/>
    <x v="1"/>
    <s v="1 to 2 hours"/>
    <x v="0"/>
    <x v="0"/>
    <x v="0"/>
    <m/>
    <n v="1"/>
    <n v="1"/>
  </r>
  <r>
    <s v="Call_7729"/>
    <x v="11"/>
    <n v="73"/>
    <x v="0"/>
    <x v="120"/>
    <n v="87"/>
    <n v="3.6"/>
    <n v="2023"/>
    <x v="1"/>
    <s v="1 to 2 hours"/>
    <x v="2"/>
    <x v="2"/>
    <x v="1"/>
    <m/>
    <n v="1"/>
    <n v="0"/>
  </r>
  <r>
    <s v="Call_7730"/>
    <x v="9"/>
    <n v="25"/>
    <x v="2"/>
    <x v="120"/>
    <n v="52"/>
    <n v="3.8"/>
    <n v="2023"/>
    <x v="1"/>
    <s v="10 to 30 mins"/>
    <x v="2"/>
    <x v="1"/>
    <x v="1"/>
    <m/>
    <n v="1"/>
    <n v="0"/>
  </r>
  <r>
    <s v="Call_7731"/>
    <x v="4"/>
    <n v="44"/>
    <x v="4"/>
    <x v="120"/>
    <n v="63"/>
    <n v="3.5"/>
    <n v="2023"/>
    <x v="1"/>
    <s v="30 to 60 mins"/>
    <x v="2"/>
    <x v="0"/>
    <x v="1"/>
    <m/>
    <n v="1"/>
    <n v="0"/>
  </r>
  <r>
    <s v="Call_7732"/>
    <x v="10"/>
    <n v="34"/>
    <x v="1"/>
    <x v="121"/>
    <n v="195"/>
    <n v="4.8"/>
    <n v="2023"/>
    <x v="2"/>
    <s v="30 to 60 mins"/>
    <x v="0"/>
    <x v="1"/>
    <x v="0"/>
    <m/>
    <n v="1"/>
    <n v="1"/>
  </r>
  <r>
    <s v="Call_7733"/>
    <x v="14"/>
    <n v="89"/>
    <x v="3"/>
    <x v="122"/>
    <n v="176"/>
    <n v="4.5"/>
    <n v="2023"/>
    <x v="3"/>
    <s v="1 to 2 hours"/>
    <x v="0"/>
    <x v="2"/>
    <x v="1"/>
    <m/>
    <n v="1"/>
    <n v="1"/>
  </r>
  <r>
    <s v="Call_7734"/>
    <x v="6"/>
    <n v="54"/>
    <x v="2"/>
    <x v="123"/>
    <n v="31"/>
    <n v="3.3"/>
    <n v="2023"/>
    <x v="4"/>
    <s v="30 to 60 mins"/>
    <x v="1"/>
    <x v="2"/>
    <x v="1"/>
    <m/>
    <n v="1"/>
    <n v="0"/>
  </r>
  <r>
    <s v="Call_7735"/>
    <x v="2"/>
    <n v="25"/>
    <x v="2"/>
    <x v="124"/>
    <n v="27"/>
    <n v="3.2"/>
    <n v="2023"/>
    <x v="5"/>
    <s v="10 to 30 mins"/>
    <x v="1"/>
    <x v="1"/>
    <x v="0"/>
    <m/>
    <n v="1"/>
    <n v="0"/>
  </r>
  <r>
    <s v="Call_7736"/>
    <x v="7"/>
    <n v="91"/>
    <x v="3"/>
    <x v="124"/>
    <n v="76"/>
    <n v="4.9000000000000004"/>
    <n v="2023"/>
    <x v="5"/>
    <s v="1 to 2 hours"/>
    <x v="0"/>
    <x v="2"/>
    <x v="1"/>
    <m/>
    <n v="1"/>
    <n v="1"/>
  </r>
  <r>
    <s v="Call_7737"/>
    <x v="4"/>
    <n v="144"/>
    <x v="4"/>
    <x v="124"/>
    <n v="62"/>
    <n v="4.8"/>
    <n v="2023"/>
    <x v="5"/>
    <s v="More than 2 hours"/>
    <x v="0"/>
    <x v="0"/>
    <x v="1"/>
    <m/>
    <n v="1"/>
    <n v="1"/>
  </r>
  <r>
    <s v="Call_7738"/>
    <x v="7"/>
    <n v="81"/>
    <x v="1"/>
    <x v="125"/>
    <n v="100"/>
    <n v="1.3"/>
    <n v="2023"/>
    <x v="0"/>
    <s v="1 to 2 hours"/>
    <x v="5"/>
    <x v="2"/>
    <x v="1"/>
    <m/>
    <n v="1"/>
    <n v="0"/>
  </r>
  <r>
    <s v="Call_7739"/>
    <x v="13"/>
    <n v="92"/>
    <x v="2"/>
    <x v="125"/>
    <n v="44"/>
    <n v="3.1"/>
    <n v="2023"/>
    <x v="0"/>
    <s v="1 to 2 hours"/>
    <x v="1"/>
    <x v="1"/>
    <x v="0"/>
    <m/>
    <n v="1"/>
    <n v="0"/>
  </r>
  <r>
    <s v="Call_7740"/>
    <x v="2"/>
    <n v="115"/>
    <x v="3"/>
    <x v="125"/>
    <n v="168"/>
    <n v="3.4"/>
    <n v="2023"/>
    <x v="0"/>
    <s v="1 to 2 hours"/>
    <x v="1"/>
    <x v="1"/>
    <x v="0"/>
    <m/>
    <n v="1"/>
    <n v="0"/>
  </r>
  <r>
    <s v="Call_7741"/>
    <x v="5"/>
    <n v="56"/>
    <x v="3"/>
    <x v="126"/>
    <n v="200"/>
    <n v="4.5999999999999996"/>
    <n v="2023"/>
    <x v="1"/>
    <s v="30 to 60 mins"/>
    <x v="0"/>
    <x v="2"/>
    <x v="1"/>
    <m/>
    <n v="1"/>
    <n v="1"/>
  </r>
  <r>
    <s v="Call_7742"/>
    <x v="1"/>
    <n v="154"/>
    <x v="2"/>
    <x v="126"/>
    <n v="84"/>
    <n v="4.3"/>
    <n v="2023"/>
    <x v="1"/>
    <s v="More than 2 hours"/>
    <x v="2"/>
    <x v="0"/>
    <x v="0"/>
    <m/>
    <n v="1"/>
    <n v="0"/>
  </r>
  <r>
    <s v="Call_7743"/>
    <x v="14"/>
    <n v="51"/>
    <x v="3"/>
    <x v="127"/>
    <n v="117"/>
    <n v="2.7"/>
    <n v="2023"/>
    <x v="2"/>
    <s v="30 to 60 mins"/>
    <x v="1"/>
    <x v="2"/>
    <x v="1"/>
    <m/>
    <n v="1"/>
    <n v="0"/>
  </r>
  <r>
    <s v="Call_7744"/>
    <x v="10"/>
    <n v="21"/>
    <x v="1"/>
    <x v="127"/>
    <n v="63"/>
    <n v="4.2"/>
    <n v="2023"/>
    <x v="2"/>
    <s v="10 to 30 mins"/>
    <x v="2"/>
    <x v="1"/>
    <x v="0"/>
    <m/>
    <n v="1"/>
    <n v="0"/>
  </r>
  <r>
    <s v="Call_7745"/>
    <x v="2"/>
    <n v="80"/>
    <x v="3"/>
    <x v="128"/>
    <n v="145"/>
    <n v="4.9000000000000004"/>
    <n v="2023"/>
    <x v="3"/>
    <s v="1 to 2 hours"/>
    <x v="0"/>
    <x v="1"/>
    <x v="0"/>
    <m/>
    <n v="1"/>
    <n v="1"/>
  </r>
  <r>
    <s v="Call_7746"/>
    <x v="14"/>
    <n v="139"/>
    <x v="2"/>
    <x v="128"/>
    <n v="220"/>
    <n v="3.2"/>
    <n v="2023"/>
    <x v="3"/>
    <s v="More than 2 hours"/>
    <x v="1"/>
    <x v="2"/>
    <x v="1"/>
    <m/>
    <n v="1"/>
    <n v="0"/>
  </r>
  <r>
    <s v="Call_7747"/>
    <x v="8"/>
    <n v="50"/>
    <x v="1"/>
    <x v="128"/>
    <n v="26"/>
    <n v="4.7"/>
    <n v="2023"/>
    <x v="3"/>
    <s v="30 to 60 mins"/>
    <x v="0"/>
    <x v="2"/>
    <x v="0"/>
    <m/>
    <n v="1"/>
    <n v="1"/>
  </r>
  <r>
    <s v="Call_7748"/>
    <x v="2"/>
    <n v="88"/>
    <x v="3"/>
    <x v="128"/>
    <n v="78"/>
    <n v="4.3"/>
    <n v="2023"/>
    <x v="3"/>
    <s v="1 to 2 hours"/>
    <x v="2"/>
    <x v="1"/>
    <x v="0"/>
    <m/>
    <n v="1"/>
    <n v="0"/>
  </r>
  <r>
    <s v="Call_7749"/>
    <x v="6"/>
    <n v="19"/>
    <x v="4"/>
    <x v="129"/>
    <n v="132"/>
    <n v="4.3"/>
    <n v="2023"/>
    <x v="4"/>
    <s v="10 to 30 mins"/>
    <x v="2"/>
    <x v="2"/>
    <x v="1"/>
    <m/>
    <n v="1"/>
    <n v="0"/>
  </r>
  <r>
    <s v="Call_7750"/>
    <x v="9"/>
    <n v="104"/>
    <x v="4"/>
    <x v="130"/>
    <n v="68"/>
    <n v="3.7"/>
    <n v="2023"/>
    <x v="5"/>
    <s v="1 to 2 hours"/>
    <x v="2"/>
    <x v="1"/>
    <x v="1"/>
    <m/>
    <n v="1"/>
    <n v="0"/>
  </r>
  <r>
    <s v="Call_7751"/>
    <x v="1"/>
    <n v="67"/>
    <x v="2"/>
    <x v="131"/>
    <n v="129"/>
    <n v="4.7"/>
    <n v="2023"/>
    <x v="0"/>
    <s v="1 to 2 hours"/>
    <x v="0"/>
    <x v="0"/>
    <x v="0"/>
    <m/>
    <n v="1"/>
    <n v="1"/>
  </r>
  <r>
    <s v="Call_7752"/>
    <x v="12"/>
    <n v="107"/>
    <x v="4"/>
    <x v="131"/>
    <n v="115"/>
    <n v="4.9000000000000004"/>
    <n v="2023"/>
    <x v="0"/>
    <s v="1 to 2 hours"/>
    <x v="0"/>
    <x v="0"/>
    <x v="1"/>
    <m/>
    <n v="1"/>
    <n v="1"/>
  </r>
  <r>
    <s v="Call_7753"/>
    <x v="12"/>
    <n v="93"/>
    <x v="4"/>
    <x v="131"/>
    <n v="128"/>
    <n v="3.9"/>
    <n v="2023"/>
    <x v="0"/>
    <s v="1 to 2 hours"/>
    <x v="2"/>
    <x v="0"/>
    <x v="1"/>
    <m/>
    <n v="1"/>
    <n v="0"/>
  </r>
  <r>
    <s v="Call_7754"/>
    <x v="12"/>
    <n v="117"/>
    <x v="2"/>
    <x v="131"/>
    <n v="90"/>
    <n v="4.5"/>
    <n v="2023"/>
    <x v="0"/>
    <s v="1 to 2 hours"/>
    <x v="0"/>
    <x v="0"/>
    <x v="1"/>
    <m/>
    <n v="1"/>
    <n v="1"/>
  </r>
  <r>
    <s v="Call_7755"/>
    <x v="8"/>
    <n v="76"/>
    <x v="3"/>
    <x v="132"/>
    <n v="39"/>
    <n v="4.5999999999999996"/>
    <n v="2023"/>
    <x v="1"/>
    <s v="1 to 2 hours"/>
    <x v="0"/>
    <x v="2"/>
    <x v="0"/>
    <m/>
    <n v="1"/>
    <n v="1"/>
  </r>
  <r>
    <s v="Call_7756"/>
    <x v="6"/>
    <n v="64"/>
    <x v="4"/>
    <x v="132"/>
    <n v="132"/>
    <n v="3.3"/>
    <n v="2023"/>
    <x v="1"/>
    <s v="1 to 2 hours"/>
    <x v="1"/>
    <x v="2"/>
    <x v="1"/>
    <m/>
    <n v="1"/>
    <n v="0"/>
  </r>
  <r>
    <s v="Call_7757"/>
    <x v="4"/>
    <n v="33"/>
    <x v="4"/>
    <x v="132"/>
    <n v="170"/>
    <n v="3.8"/>
    <n v="2023"/>
    <x v="1"/>
    <s v="30 to 60 mins"/>
    <x v="2"/>
    <x v="0"/>
    <x v="1"/>
    <m/>
    <n v="1"/>
    <n v="0"/>
  </r>
  <r>
    <s v="Call_7758"/>
    <x v="12"/>
    <n v="115"/>
    <x v="2"/>
    <x v="132"/>
    <n v="42"/>
    <n v="4.7"/>
    <n v="2023"/>
    <x v="1"/>
    <s v="1 to 2 hours"/>
    <x v="0"/>
    <x v="0"/>
    <x v="1"/>
    <m/>
    <n v="1"/>
    <n v="1"/>
  </r>
  <r>
    <s v="Call_7759"/>
    <x v="3"/>
    <n v="155"/>
    <x v="3"/>
    <x v="133"/>
    <n v="37"/>
    <n v="4"/>
    <n v="2023"/>
    <x v="2"/>
    <s v="More than 2 hours"/>
    <x v="2"/>
    <x v="1"/>
    <x v="1"/>
    <m/>
    <n v="1"/>
    <n v="0"/>
  </r>
  <r>
    <s v="Call_7760"/>
    <x v="1"/>
    <n v="117"/>
    <x v="3"/>
    <x v="133"/>
    <n v="88"/>
    <n v="4.7"/>
    <n v="2023"/>
    <x v="2"/>
    <s v="1 to 2 hours"/>
    <x v="0"/>
    <x v="0"/>
    <x v="0"/>
    <m/>
    <n v="1"/>
    <n v="1"/>
  </r>
  <r>
    <s v="Call_7761"/>
    <x v="14"/>
    <n v="63"/>
    <x v="3"/>
    <x v="133"/>
    <n v="80"/>
    <n v="2.5"/>
    <n v="2023"/>
    <x v="2"/>
    <s v="1 to 2 hours"/>
    <x v="1"/>
    <x v="2"/>
    <x v="1"/>
    <m/>
    <n v="1"/>
    <n v="0"/>
  </r>
  <r>
    <s v="Call_7762"/>
    <x v="6"/>
    <n v="59"/>
    <x v="0"/>
    <x v="134"/>
    <n v="123"/>
    <n v="3.6"/>
    <n v="2023"/>
    <x v="3"/>
    <s v="30 to 60 mins"/>
    <x v="2"/>
    <x v="2"/>
    <x v="1"/>
    <m/>
    <n v="1"/>
    <n v="0"/>
  </r>
  <r>
    <s v="Call_7763"/>
    <x v="10"/>
    <n v="133"/>
    <x v="4"/>
    <x v="134"/>
    <n v="31"/>
    <n v="3.7"/>
    <n v="2023"/>
    <x v="3"/>
    <s v="More than 2 hours"/>
    <x v="2"/>
    <x v="1"/>
    <x v="0"/>
    <m/>
    <n v="1"/>
    <n v="0"/>
  </r>
  <r>
    <s v="Call_7764"/>
    <x v="13"/>
    <n v="101"/>
    <x v="1"/>
    <x v="134"/>
    <n v="205"/>
    <n v="3.9"/>
    <n v="2023"/>
    <x v="3"/>
    <s v="1 to 2 hours"/>
    <x v="2"/>
    <x v="1"/>
    <x v="0"/>
    <m/>
    <n v="1"/>
    <n v="0"/>
  </r>
  <r>
    <s v="Call_7765"/>
    <x v="7"/>
    <n v="151"/>
    <x v="3"/>
    <x v="135"/>
    <n v="123"/>
    <n v="3.7"/>
    <n v="2023"/>
    <x v="4"/>
    <s v="More than 2 hours"/>
    <x v="2"/>
    <x v="2"/>
    <x v="1"/>
    <m/>
    <n v="1"/>
    <n v="0"/>
  </r>
  <r>
    <s v="Call_7766"/>
    <x v="4"/>
    <n v="146"/>
    <x v="4"/>
    <x v="135"/>
    <n v="123"/>
    <n v="4.3"/>
    <n v="2023"/>
    <x v="4"/>
    <s v="More than 2 hours"/>
    <x v="2"/>
    <x v="0"/>
    <x v="1"/>
    <m/>
    <n v="1"/>
    <n v="0"/>
  </r>
  <r>
    <s v="Call_7767"/>
    <x v="14"/>
    <n v="148"/>
    <x v="4"/>
    <x v="135"/>
    <n v="36"/>
    <n v="2.9"/>
    <n v="2023"/>
    <x v="4"/>
    <s v="More than 2 hours"/>
    <x v="1"/>
    <x v="2"/>
    <x v="1"/>
    <m/>
    <n v="1"/>
    <n v="0"/>
  </r>
  <r>
    <s v="Call_7768"/>
    <x v="7"/>
    <n v="81"/>
    <x v="4"/>
    <x v="135"/>
    <n v="116"/>
    <n v="4.3"/>
    <n v="2023"/>
    <x v="4"/>
    <s v="1 to 2 hours"/>
    <x v="2"/>
    <x v="2"/>
    <x v="1"/>
    <m/>
    <n v="1"/>
    <n v="0"/>
  </r>
  <r>
    <s v="Call_7769"/>
    <x v="9"/>
    <n v="115"/>
    <x v="4"/>
    <x v="135"/>
    <n v="40"/>
    <n v="4.9000000000000004"/>
    <n v="2023"/>
    <x v="4"/>
    <s v="1 to 2 hours"/>
    <x v="0"/>
    <x v="1"/>
    <x v="1"/>
    <m/>
    <n v="1"/>
    <n v="1"/>
  </r>
  <r>
    <s v="Call_7770"/>
    <x v="9"/>
    <n v="117"/>
    <x v="3"/>
    <x v="135"/>
    <n v="40"/>
    <n v="4"/>
    <n v="2023"/>
    <x v="4"/>
    <s v="1 to 2 hours"/>
    <x v="2"/>
    <x v="1"/>
    <x v="1"/>
    <m/>
    <n v="1"/>
    <n v="0"/>
  </r>
  <r>
    <s v="Call_7771"/>
    <x v="13"/>
    <n v="110"/>
    <x v="2"/>
    <x v="136"/>
    <n v="82"/>
    <n v="4"/>
    <n v="2023"/>
    <x v="5"/>
    <s v="1 to 2 hours"/>
    <x v="2"/>
    <x v="1"/>
    <x v="0"/>
    <m/>
    <n v="1"/>
    <n v="0"/>
  </r>
  <r>
    <s v="Call_7772"/>
    <x v="8"/>
    <n v="103"/>
    <x v="0"/>
    <x v="136"/>
    <n v="62"/>
    <n v="3.4"/>
    <n v="2023"/>
    <x v="5"/>
    <s v="1 to 2 hours"/>
    <x v="1"/>
    <x v="2"/>
    <x v="0"/>
    <m/>
    <n v="1"/>
    <n v="0"/>
  </r>
  <r>
    <s v="Call_7773"/>
    <x v="3"/>
    <n v="45"/>
    <x v="0"/>
    <x v="136"/>
    <n v="135"/>
    <n v="3.9"/>
    <n v="2023"/>
    <x v="5"/>
    <s v="30 to 60 mins"/>
    <x v="2"/>
    <x v="1"/>
    <x v="1"/>
    <m/>
    <n v="1"/>
    <n v="0"/>
  </r>
  <r>
    <s v="Call_7774"/>
    <x v="13"/>
    <n v="110"/>
    <x v="1"/>
    <x v="136"/>
    <n v="155"/>
    <n v="2.1"/>
    <n v="2023"/>
    <x v="5"/>
    <s v="1 to 2 hours"/>
    <x v="3"/>
    <x v="1"/>
    <x v="0"/>
    <m/>
    <n v="1"/>
    <n v="0"/>
  </r>
  <r>
    <s v="Call_7775"/>
    <x v="6"/>
    <n v="43"/>
    <x v="2"/>
    <x v="136"/>
    <n v="37"/>
    <n v="4.9000000000000004"/>
    <n v="2023"/>
    <x v="5"/>
    <s v="30 to 60 mins"/>
    <x v="0"/>
    <x v="2"/>
    <x v="1"/>
    <m/>
    <n v="1"/>
    <n v="1"/>
  </r>
  <r>
    <s v="Call_7776"/>
    <x v="13"/>
    <n v="104"/>
    <x v="3"/>
    <x v="137"/>
    <n v="56"/>
    <n v="3.4"/>
    <n v="2023"/>
    <x v="6"/>
    <s v="1 to 2 hours"/>
    <x v="1"/>
    <x v="1"/>
    <x v="0"/>
    <m/>
    <n v="1"/>
    <n v="0"/>
  </r>
  <r>
    <s v="Call_7777"/>
    <x v="13"/>
    <n v="101"/>
    <x v="3"/>
    <x v="137"/>
    <n v="185"/>
    <n v="5"/>
    <n v="2023"/>
    <x v="6"/>
    <s v="1 to 2 hours"/>
    <x v="0"/>
    <x v="1"/>
    <x v="0"/>
    <m/>
    <n v="1"/>
    <n v="1"/>
  </r>
  <r>
    <s v="Call_7778"/>
    <x v="0"/>
    <n v="55"/>
    <x v="2"/>
    <x v="138"/>
    <n v="145"/>
    <n v="4.5"/>
    <n v="2023"/>
    <x v="0"/>
    <s v="30 to 60 mins"/>
    <x v="0"/>
    <x v="0"/>
    <x v="0"/>
    <m/>
    <n v="1"/>
    <n v="1"/>
  </r>
  <r>
    <s v="Call_7779"/>
    <x v="7"/>
    <n v="40"/>
    <x v="0"/>
    <x v="138"/>
    <n v="116"/>
    <n v="2.6"/>
    <n v="2023"/>
    <x v="0"/>
    <s v="30 to 60 mins"/>
    <x v="1"/>
    <x v="2"/>
    <x v="1"/>
    <m/>
    <n v="1"/>
    <n v="0"/>
  </r>
  <r>
    <s v="Call_7780"/>
    <x v="6"/>
    <n v="122"/>
    <x v="4"/>
    <x v="138"/>
    <n v="45"/>
    <n v="4.2"/>
    <n v="2023"/>
    <x v="0"/>
    <s v="More than 2 hours"/>
    <x v="2"/>
    <x v="2"/>
    <x v="1"/>
    <m/>
    <n v="1"/>
    <n v="0"/>
  </r>
  <r>
    <s v="Call_7781"/>
    <x v="4"/>
    <n v="98"/>
    <x v="3"/>
    <x v="139"/>
    <n v="35"/>
    <n v="4.5"/>
    <n v="2023"/>
    <x v="1"/>
    <s v="1 to 2 hours"/>
    <x v="0"/>
    <x v="0"/>
    <x v="1"/>
    <m/>
    <n v="1"/>
    <n v="1"/>
  </r>
  <r>
    <s v="Call_7782"/>
    <x v="9"/>
    <n v="110"/>
    <x v="0"/>
    <x v="139"/>
    <n v="100"/>
    <n v="4.4000000000000004"/>
    <n v="2023"/>
    <x v="1"/>
    <s v="1 to 2 hours"/>
    <x v="2"/>
    <x v="1"/>
    <x v="1"/>
    <m/>
    <n v="1"/>
    <n v="0"/>
  </r>
  <r>
    <s v="Call_7783"/>
    <x v="9"/>
    <n v="62"/>
    <x v="2"/>
    <x v="140"/>
    <n v="125"/>
    <n v="3.5"/>
    <n v="2023"/>
    <x v="2"/>
    <s v="1 to 2 hours"/>
    <x v="2"/>
    <x v="1"/>
    <x v="1"/>
    <m/>
    <n v="1"/>
    <n v="0"/>
  </r>
  <r>
    <s v="Call_7784"/>
    <x v="6"/>
    <n v="134"/>
    <x v="4"/>
    <x v="140"/>
    <n v="120"/>
    <n v="3"/>
    <n v="2023"/>
    <x v="2"/>
    <s v="More than 2 hours"/>
    <x v="1"/>
    <x v="2"/>
    <x v="1"/>
    <m/>
    <n v="1"/>
    <n v="0"/>
  </r>
  <r>
    <s v="Call_7785"/>
    <x v="11"/>
    <n v="94"/>
    <x v="1"/>
    <x v="140"/>
    <n v="180"/>
    <n v="4.7"/>
    <n v="2023"/>
    <x v="2"/>
    <s v="1 to 2 hours"/>
    <x v="0"/>
    <x v="2"/>
    <x v="1"/>
    <m/>
    <n v="1"/>
    <n v="1"/>
  </r>
  <r>
    <s v="Call_7786"/>
    <x v="5"/>
    <n v="63"/>
    <x v="0"/>
    <x v="140"/>
    <n v="44"/>
    <n v="3"/>
    <n v="2023"/>
    <x v="2"/>
    <s v="1 to 2 hours"/>
    <x v="1"/>
    <x v="2"/>
    <x v="1"/>
    <m/>
    <n v="1"/>
    <n v="0"/>
  </r>
  <r>
    <s v="Call_7787"/>
    <x v="10"/>
    <n v="95"/>
    <x v="4"/>
    <x v="140"/>
    <n v="86"/>
    <n v="3.6"/>
    <n v="2023"/>
    <x v="2"/>
    <s v="1 to 2 hours"/>
    <x v="2"/>
    <x v="1"/>
    <x v="0"/>
    <m/>
    <n v="1"/>
    <n v="0"/>
  </r>
  <r>
    <s v="Call_7788"/>
    <x v="6"/>
    <n v="106"/>
    <x v="4"/>
    <x v="141"/>
    <n v="120"/>
    <n v="4.0999999999999996"/>
    <n v="2023"/>
    <x v="3"/>
    <s v="1 to 2 hours"/>
    <x v="2"/>
    <x v="2"/>
    <x v="1"/>
    <m/>
    <n v="1"/>
    <n v="0"/>
  </r>
  <r>
    <s v="Call_7789"/>
    <x v="3"/>
    <n v="94"/>
    <x v="1"/>
    <x v="141"/>
    <n v="100"/>
    <n v="3.7"/>
    <n v="2023"/>
    <x v="3"/>
    <s v="1 to 2 hours"/>
    <x v="2"/>
    <x v="1"/>
    <x v="1"/>
    <m/>
    <n v="1"/>
    <n v="0"/>
  </r>
  <r>
    <s v="Call_7790"/>
    <x v="3"/>
    <n v="51"/>
    <x v="1"/>
    <x v="142"/>
    <n v="108"/>
    <n v="4.5"/>
    <n v="2023"/>
    <x v="4"/>
    <s v="30 to 60 mins"/>
    <x v="0"/>
    <x v="1"/>
    <x v="1"/>
    <m/>
    <n v="1"/>
    <n v="1"/>
  </r>
  <r>
    <s v="Call_7791"/>
    <x v="14"/>
    <n v="39"/>
    <x v="1"/>
    <x v="142"/>
    <n v="46"/>
    <n v="4.5999999999999996"/>
    <n v="2023"/>
    <x v="4"/>
    <s v="30 to 60 mins"/>
    <x v="0"/>
    <x v="2"/>
    <x v="1"/>
    <m/>
    <n v="1"/>
    <n v="1"/>
  </r>
  <r>
    <s v="Call_7792"/>
    <x v="7"/>
    <n v="111"/>
    <x v="4"/>
    <x v="142"/>
    <n v="210"/>
    <n v="4.3"/>
    <n v="2023"/>
    <x v="4"/>
    <s v="1 to 2 hours"/>
    <x v="2"/>
    <x v="2"/>
    <x v="1"/>
    <m/>
    <n v="1"/>
    <n v="0"/>
  </r>
  <r>
    <s v="Call_7793"/>
    <x v="12"/>
    <n v="141"/>
    <x v="2"/>
    <x v="143"/>
    <n v="54"/>
    <n v="4.8"/>
    <n v="2023"/>
    <x v="6"/>
    <s v="More than 2 hours"/>
    <x v="0"/>
    <x v="0"/>
    <x v="1"/>
    <m/>
    <n v="1"/>
    <n v="1"/>
  </r>
  <r>
    <s v="Call_7794"/>
    <x v="5"/>
    <n v="147"/>
    <x v="4"/>
    <x v="143"/>
    <n v="115"/>
    <n v="4.7"/>
    <n v="2023"/>
    <x v="6"/>
    <s v="More than 2 hours"/>
    <x v="0"/>
    <x v="2"/>
    <x v="1"/>
    <m/>
    <n v="1"/>
    <n v="1"/>
  </r>
  <r>
    <s v="Call_7795"/>
    <x v="11"/>
    <n v="49"/>
    <x v="1"/>
    <x v="144"/>
    <n v="100"/>
    <n v="2.2000000000000002"/>
    <n v="2023"/>
    <x v="0"/>
    <s v="30 to 60 mins"/>
    <x v="3"/>
    <x v="2"/>
    <x v="1"/>
    <m/>
    <n v="1"/>
    <n v="0"/>
  </r>
  <r>
    <s v="Call_7796"/>
    <x v="2"/>
    <n v="75"/>
    <x v="4"/>
    <x v="144"/>
    <n v="38"/>
    <n v="4.4000000000000004"/>
    <n v="2023"/>
    <x v="0"/>
    <s v="1 to 2 hours"/>
    <x v="2"/>
    <x v="1"/>
    <x v="0"/>
    <m/>
    <n v="1"/>
    <n v="0"/>
  </r>
  <r>
    <s v="Call_7797"/>
    <x v="12"/>
    <n v="48"/>
    <x v="2"/>
    <x v="145"/>
    <n v="120"/>
    <n v="4.0999999999999996"/>
    <n v="2023"/>
    <x v="1"/>
    <s v="30 to 60 mins"/>
    <x v="2"/>
    <x v="0"/>
    <x v="1"/>
    <m/>
    <n v="1"/>
    <n v="0"/>
  </r>
  <r>
    <s v="Call_7798"/>
    <x v="9"/>
    <n v="48"/>
    <x v="2"/>
    <x v="145"/>
    <n v="120"/>
    <n v="4.0999999999999996"/>
    <n v="2023"/>
    <x v="1"/>
    <s v="30 to 60 mins"/>
    <x v="2"/>
    <x v="1"/>
    <x v="1"/>
    <m/>
    <n v="1"/>
    <n v="0"/>
  </r>
  <r>
    <s v="Call_7799"/>
    <x v="1"/>
    <n v="138"/>
    <x v="1"/>
    <x v="145"/>
    <n v="29"/>
    <n v="4.4000000000000004"/>
    <n v="2023"/>
    <x v="1"/>
    <s v="More than 2 hours"/>
    <x v="2"/>
    <x v="0"/>
    <x v="0"/>
    <m/>
    <n v="1"/>
    <n v="0"/>
  </r>
  <r>
    <s v="Call_7800"/>
    <x v="10"/>
    <n v="144"/>
    <x v="1"/>
    <x v="146"/>
    <n v="25"/>
    <n v="3.7"/>
    <n v="2023"/>
    <x v="2"/>
    <s v="More than 2 hours"/>
    <x v="2"/>
    <x v="1"/>
    <x v="0"/>
    <m/>
    <n v="1"/>
    <n v="0"/>
  </r>
  <r>
    <s v="Call_7801"/>
    <x v="13"/>
    <n v="119"/>
    <x v="4"/>
    <x v="147"/>
    <n v="116"/>
    <n v="3.8"/>
    <n v="2023"/>
    <x v="3"/>
    <s v="1 to 2 hours"/>
    <x v="2"/>
    <x v="1"/>
    <x v="0"/>
    <m/>
    <n v="1"/>
    <n v="0"/>
  </r>
  <r>
    <s v="Call_7802"/>
    <x v="1"/>
    <n v="101"/>
    <x v="2"/>
    <x v="148"/>
    <n v="132"/>
    <n v="4.3"/>
    <n v="2023"/>
    <x v="4"/>
    <s v="1 to 2 hours"/>
    <x v="2"/>
    <x v="0"/>
    <x v="0"/>
    <m/>
    <n v="1"/>
    <n v="0"/>
  </r>
  <r>
    <s v="Call_7803"/>
    <x v="10"/>
    <n v="59"/>
    <x v="4"/>
    <x v="149"/>
    <n v="90"/>
    <n v="3.5"/>
    <n v="2023"/>
    <x v="5"/>
    <s v="30 to 60 mins"/>
    <x v="2"/>
    <x v="1"/>
    <x v="0"/>
    <m/>
    <n v="1"/>
    <n v="0"/>
  </r>
  <r>
    <s v="Call_7804"/>
    <x v="7"/>
    <n v="125"/>
    <x v="0"/>
    <x v="149"/>
    <n v="87"/>
    <n v="4.0999999999999996"/>
    <n v="2023"/>
    <x v="5"/>
    <s v="More than 2 hours"/>
    <x v="2"/>
    <x v="2"/>
    <x v="1"/>
    <m/>
    <n v="1"/>
    <n v="0"/>
  </r>
  <r>
    <s v="Call_7805"/>
    <x v="6"/>
    <n v="147"/>
    <x v="4"/>
    <x v="149"/>
    <n v="140"/>
    <n v="4.2"/>
    <n v="2023"/>
    <x v="5"/>
    <s v="More than 2 hours"/>
    <x v="2"/>
    <x v="2"/>
    <x v="1"/>
    <m/>
    <n v="1"/>
    <n v="0"/>
  </r>
  <r>
    <s v="Call_7806"/>
    <x v="8"/>
    <n v="76"/>
    <x v="4"/>
    <x v="149"/>
    <n v="164"/>
    <n v="4.5"/>
    <n v="2023"/>
    <x v="5"/>
    <s v="1 to 2 hours"/>
    <x v="0"/>
    <x v="2"/>
    <x v="0"/>
    <m/>
    <n v="1"/>
    <n v="1"/>
  </r>
  <r>
    <s v="Call_7807"/>
    <x v="5"/>
    <n v="99"/>
    <x v="2"/>
    <x v="150"/>
    <n v="180"/>
    <n v="3.8"/>
    <n v="2023"/>
    <x v="6"/>
    <s v="1 to 2 hours"/>
    <x v="2"/>
    <x v="2"/>
    <x v="1"/>
    <m/>
    <n v="1"/>
    <n v="0"/>
  </r>
  <r>
    <s v="Call_7808"/>
    <x v="14"/>
    <n v="111"/>
    <x v="3"/>
    <x v="151"/>
    <n v="22"/>
    <n v="4.0999999999999996"/>
    <n v="2023"/>
    <x v="0"/>
    <s v="1 to 2 hours"/>
    <x v="2"/>
    <x v="2"/>
    <x v="1"/>
    <m/>
    <n v="1"/>
    <n v="0"/>
  </r>
  <r>
    <s v="Call_7809"/>
    <x v="4"/>
    <n v="147"/>
    <x v="0"/>
    <x v="151"/>
    <n v="82"/>
    <n v="4.4000000000000004"/>
    <n v="2023"/>
    <x v="0"/>
    <s v="More than 2 hours"/>
    <x v="2"/>
    <x v="0"/>
    <x v="1"/>
    <m/>
    <n v="1"/>
    <n v="0"/>
  </r>
  <r>
    <s v="Call_7810"/>
    <x v="0"/>
    <n v="141"/>
    <x v="2"/>
    <x v="151"/>
    <n v="100"/>
    <n v="4.5999999999999996"/>
    <n v="2023"/>
    <x v="0"/>
    <s v="More than 2 hours"/>
    <x v="0"/>
    <x v="0"/>
    <x v="0"/>
    <m/>
    <n v="1"/>
    <n v="1"/>
  </r>
  <r>
    <s v="Call_7811"/>
    <x v="8"/>
    <n v="71"/>
    <x v="4"/>
    <x v="152"/>
    <n v="52"/>
    <n v="3.4"/>
    <n v="2023"/>
    <x v="1"/>
    <s v="1 to 2 hours"/>
    <x v="1"/>
    <x v="2"/>
    <x v="0"/>
    <m/>
    <n v="1"/>
    <n v="0"/>
  </r>
  <r>
    <s v="Call_7812"/>
    <x v="8"/>
    <n v="121"/>
    <x v="0"/>
    <x v="153"/>
    <n v="84"/>
    <n v="4.5999999999999996"/>
    <n v="2023"/>
    <x v="2"/>
    <s v="More than 2 hours"/>
    <x v="0"/>
    <x v="2"/>
    <x v="0"/>
    <m/>
    <n v="1"/>
    <n v="1"/>
  </r>
  <r>
    <s v="Call_7813"/>
    <x v="8"/>
    <n v="60"/>
    <x v="0"/>
    <x v="153"/>
    <n v="37"/>
    <n v="3.9"/>
    <n v="2023"/>
    <x v="2"/>
    <s v="30 to 60 mins"/>
    <x v="2"/>
    <x v="2"/>
    <x v="0"/>
    <m/>
    <n v="1"/>
    <n v="0"/>
  </r>
  <r>
    <s v="Call_7814"/>
    <x v="11"/>
    <n v="158"/>
    <x v="2"/>
    <x v="154"/>
    <n v="190"/>
    <n v="4"/>
    <n v="2023"/>
    <x v="3"/>
    <s v="More than 2 hours"/>
    <x v="2"/>
    <x v="2"/>
    <x v="1"/>
    <m/>
    <n v="1"/>
    <n v="0"/>
  </r>
  <r>
    <s v="Call_7815"/>
    <x v="6"/>
    <n v="159"/>
    <x v="1"/>
    <x v="154"/>
    <n v="66"/>
    <n v="3.4"/>
    <n v="2023"/>
    <x v="3"/>
    <s v="More than 2 hours"/>
    <x v="1"/>
    <x v="2"/>
    <x v="1"/>
    <m/>
    <n v="1"/>
    <n v="0"/>
  </r>
  <r>
    <s v="Call_7816"/>
    <x v="1"/>
    <n v="70"/>
    <x v="4"/>
    <x v="155"/>
    <n v="116"/>
    <n v="3.2"/>
    <n v="2023"/>
    <x v="4"/>
    <s v="1 to 2 hours"/>
    <x v="1"/>
    <x v="0"/>
    <x v="0"/>
    <m/>
    <n v="1"/>
    <n v="0"/>
  </r>
  <r>
    <s v="Call_7817"/>
    <x v="12"/>
    <n v="78"/>
    <x v="3"/>
    <x v="155"/>
    <n v="28"/>
    <n v="3.9"/>
    <n v="2023"/>
    <x v="4"/>
    <s v="1 to 2 hours"/>
    <x v="2"/>
    <x v="0"/>
    <x v="1"/>
    <m/>
    <n v="1"/>
    <n v="0"/>
  </r>
  <r>
    <s v="Call_7818"/>
    <x v="4"/>
    <n v="103"/>
    <x v="4"/>
    <x v="155"/>
    <n v="120"/>
    <n v="5"/>
    <n v="2023"/>
    <x v="4"/>
    <s v="1 to 2 hours"/>
    <x v="0"/>
    <x v="0"/>
    <x v="1"/>
    <m/>
    <n v="1"/>
    <n v="1"/>
  </r>
  <r>
    <s v="Call_7819"/>
    <x v="2"/>
    <n v="108"/>
    <x v="2"/>
    <x v="155"/>
    <n v="56"/>
    <n v="3.5"/>
    <n v="2023"/>
    <x v="4"/>
    <s v="1 to 2 hours"/>
    <x v="2"/>
    <x v="1"/>
    <x v="0"/>
    <m/>
    <n v="1"/>
    <n v="0"/>
  </r>
  <r>
    <s v="Call_7820"/>
    <x v="2"/>
    <n v="44"/>
    <x v="0"/>
    <x v="155"/>
    <n v="170"/>
    <n v="3.8"/>
    <n v="2023"/>
    <x v="4"/>
    <s v="30 to 60 mins"/>
    <x v="2"/>
    <x v="1"/>
    <x v="0"/>
    <m/>
    <n v="1"/>
    <n v="0"/>
  </r>
  <r>
    <s v="Call_7821"/>
    <x v="12"/>
    <n v="127"/>
    <x v="2"/>
    <x v="156"/>
    <n v="200"/>
    <n v="4.8"/>
    <n v="2023"/>
    <x v="5"/>
    <s v="More than 2 hours"/>
    <x v="0"/>
    <x v="0"/>
    <x v="1"/>
    <m/>
    <n v="1"/>
    <n v="1"/>
  </r>
  <r>
    <s v="Call_7822"/>
    <x v="4"/>
    <n v="132"/>
    <x v="4"/>
    <x v="157"/>
    <n v="50"/>
    <n v="4.2"/>
    <n v="2023"/>
    <x v="6"/>
    <s v="More than 2 hours"/>
    <x v="2"/>
    <x v="0"/>
    <x v="1"/>
    <m/>
    <n v="1"/>
    <n v="0"/>
  </r>
  <r>
    <s v="Call_7823"/>
    <x v="0"/>
    <n v="106"/>
    <x v="3"/>
    <x v="157"/>
    <n v="112"/>
    <n v="3.7"/>
    <n v="2023"/>
    <x v="6"/>
    <s v="1 to 2 hours"/>
    <x v="2"/>
    <x v="0"/>
    <x v="0"/>
    <m/>
    <n v="1"/>
    <n v="0"/>
  </r>
  <r>
    <s v="Call_7824"/>
    <x v="14"/>
    <n v="107"/>
    <x v="4"/>
    <x v="158"/>
    <n v="39"/>
    <n v="4.8"/>
    <n v="2023"/>
    <x v="0"/>
    <s v="1 to 2 hours"/>
    <x v="0"/>
    <x v="2"/>
    <x v="1"/>
    <m/>
    <n v="1"/>
    <n v="1"/>
  </r>
  <r>
    <s v="Call_7825"/>
    <x v="6"/>
    <n v="85"/>
    <x v="3"/>
    <x v="158"/>
    <n v="38"/>
    <n v="4.8"/>
    <n v="2023"/>
    <x v="0"/>
    <s v="1 to 2 hours"/>
    <x v="0"/>
    <x v="2"/>
    <x v="1"/>
    <m/>
    <n v="1"/>
    <n v="1"/>
  </r>
  <r>
    <s v="Call_7826"/>
    <x v="5"/>
    <n v="49"/>
    <x v="4"/>
    <x v="159"/>
    <n v="84"/>
    <n v="2.9"/>
    <n v="2023"/>
    <x v="1"/>
    <s v="30 to 60 mins"/>
    <x v="1"/>
    <x v="2"/>
    <x v="1"/>
    <m/>
    <n v="1"/>
    <n v="0"/>
  </r>
  <r>
    <s v="Call_7827"/>
    <x v="8"/>
    <n v="117"/>
    <x v="2"/>
    <x v="160"/>
    <n v="82"/>
    <n v="3.5"/>
    <n v="2023"/>
    <x v="2"/>
    <s v="1 to 2 hours"/>
    <x v="2"/>
    <x v="2"/>
    <x v="0"/>
    <m/>
    <n v="1"/>
    <n v="0"/>
  </r>
  <r>
    <s v="Call_7828"/>
    <x v="14"/>
    <n v="136"/>
    <x v="3"/>
    <x v="160"/>
    <n v="37"/>
    <n v="0.9"/>
    <n v="2023"/>
    <x v="2"/>
    <s v="More than 2 hours"/>
    <x v="5"/>
    <x v="2"/>
    <x v="1"/>
    <m/>
    <n v="1"/>
    <n v="0"/>
  </r>
  <r>
    <s v="Call_7829"/>
    <x v="2"/>
    <n v="130"/>
    <x v="1"/>
    <x v="161"/>
    <n v="87"/>
    <n v="3.4"/>
    <n v="2023"/>
    <x v="3"/>
    <s v="More than 2 hours"/>
    <x v="1"/>
    <x v="1"/>
    <x v="0"/>
    <m/>
    <n v="1"/>
    <n v="0"/>
  </r>
  <r>
    <s v="Call_7830"/>
    <x v="2"/>
    <n v="73"/>
    <x v="1"/>
    <x v="161"/>
    <n v="75"/>
    <n v="2.7"/>
    <n v="2023"/>
    <x v="3"/>
    <s v="1 to 2 hours"/>
    <x v="1"/>
    <x v="1"/>
    <x v="0"/>
    <m/>
    <n v="1"/>
    <n v="0"/>
  </r>
  <r>
    <s v="Call_7831"/>
    <x v="5"/>
    <n v="80"/>
    <x v="4"/>
    <x v="161"/>
    <n v="32"/>
    <n v="4.7"/>
    <n v="2023"/>
    <x v="3"/>
    <s v="1 to 2 hours"/>
    <x v="0"/>
    <x v="2"/>
    <x v="1"/>
    <m/>
    <n v="1"/>
    <n v="1"/>
  </r>
  <r>
    <s v="Call_7832"/>
    <x v="13"/>
    <n v="44"/>
    <x v="2"/>
    <x v="161"/>
    <n v="33"/>
    <n v="3"/>
    <n v="2023"/>
    <x v="3"/>
    <s v="30 to 60 mins"/>
    <x v="1"/>
    <x v="1"/>
    <x v="0"/>
    <m/>
    <n v="1"/>
    <n v="0"/>
  </r>
  <r>
    <s v="Call_7833"/>
    <x v="13"/>
    <n v="102"/>
    <x v="0"/>
    <x v="161"/>
    <n v="76"/>
    <n v="4.2"/>
    <n v="2023"/>
    <x v="3"/>
    <s v="1 to 2 hours"/>
    <x v="2"/>
    <x v="1"/>
    <x v="0"/>
    <m/>
    <n v="1"/>
    <n v="0"/>
  </r>
  <r>
    <s v="Call_7834"/>
    <x v="11"/>
    <n v="74"/>
    <x v="0"/>
    <x v="161"/>
    <n v="117"/>
    <n v="4.8"/>
    <n v="2023"/>
    <x v="3"/>
    <s v="1 to 2 hours"/>
    <x v="0"/>
    <x v="2"/>
    <x v="1"/>
    <m/>
    <n v="1"/>
    <n v="1"/>
  </r>
  <r>
    <s v="Call_7835"/>
    <x v="5"/>
    <n v="52"/>
    <x v="2"/>
    <x v="162"/>
    <n v="70"/>
    <n v="4.0999999999999996"/>
    <n v="2023"/>
    <x v="5"/>
    <s v="30 to 60 mins"/>
    <x v="2"/>
    <x v="2"/>
    <x v="1"/>
    <m/>
    <n v="1"/>
    <n v="0"/>
  </r>
  <r>
    <s v="Call_7836"/>
    <x v="5"/>
    <n v="74"/>
    <x v="1"/>
    <x v="162"/>
    <n v="37"/>
    <n v="2.7"/>
    <n v="2023"/>
    <x v="5"/>
    <s v="1 to 2 hours"/>
    <x v="1"/>
    <x v="2"/>
    <x v="1"/>
    <m/>
    <n v="1"/>
    <n v="0"/>
  </r>
  <r>
    <s v="Call_7837"/>
    <x v="2"/>
    <n v="96"/>
    <x v="0"/>
    <x v="162"/>
    <n v="46"/>
    <n v="2.9"/>
    <n v="2023"/>
    <x v="5"/>
    <s v="1 to 2 hours"/>
    <x v="1"/>
    <x v="1"/>
    <x v="0"/>
    <m/>
    <n v="1"/>
    <n v="0"/>
  </r>
  <r>
    <s v="Call_7838"/>
    <x v="7"/>
    <n v="104"/>
    <x v="4"/>
    <x v="162"/>
    <n v="136"/>
    <n v="5"/>
    <n v="2023"/>
    <x v="5"/>
    <s v="1 to 2 hours"/>
    <x v="0"/>
    <x v="2"/>
    <x v="1"/>
    <m/>
    <n v="1"/>
    <n v="1"/>
  </r>
  <r>
    <s v="Call_7839"/>
    <x v="2"/>
    <n v="123"/>
    <x v="0"/>
    <x v="163"/>
    <n v="44"/>
    <n v="4.5999999999999996"/>
    <n v="2023"/>
    <x v="6"/>
    <s v="More than 2 hours"/>
    <x v="0"/>
    <x v="1"/>
    <x v="0"/>
    <m/>
    <n v="1"/>
    <n v="1"/>
  </r>
  <r>
    <s v="Call_7840"/>
    <x v="9"/>
    <n v="100"/>
    <x v="3"/>
    <x v="163"/>
    <n v="69"/>
    <n v="3"/>
    <n v="2023"/>
    <x v="6"/>
    <s v="1 to 2 hours"/>
    <x v="1"/>
    <x v="1"/>
    <x v="1"/>
    <m/>
    <n v="1"/>
    <n v="0"/>
  </r>
  <r>
    <s v="Call_7841"/>
    <x v="7"/>
    <n v="35"/>
    <x v="2"/>
    <x v="164"/>
    <n v="86"/>
    <n v="4.5999999999999996"/>
    <n v="2023"/>
    <x v="0"/>
    <s v="30 to 60 mins"/>
    <x v="0"/>
    <x v="2"/>
    <x v="1"/>
    <m/>
    <n v="1"/>
    <n v="1"/>
  </r>
  <r>
    <s v="Call_7842"/>
    <x v="5"/>
    <n v="123"/>
    <x v="4"/>
    <x v="164"/>
    <n v="68"/>
    <n v="4.5"/>
    <n v="2023"/>
    <x v="0"/>
    <s v="More than 2 hours"/>
    <x v="0"/>
    <x v="2"/>
    <x v="1"/>
    <m/>
    <n v="1"/>
    <n v="1"/>
  </r>
  <r>
    <s v="Call_7843"/>
    <x v="8"/>
    <n v="133"/>
    <x v="2"/>
    <x v="165"/>
    <n v="21"/>
    <n v="3.7"/>
    <n v="2023"/>
    <x v="1"/>
    <s v="More than 2 hours"/>
    <x v="2"/>
    <x v="2"/>
    <x v="0"/>
    <m/>
    <n v="1"/>
    <n v="0"/>
  </r>
  <r>
    <s v="Call_7844"/>
    <x v="2"/>
    <n v="126"/>
    <x v="1"/>
    <x v="165"/>
    <n v="190"/>
    <n v="2.4"/>
    <n v="2023"/>
    <x v="1"/>
    <s v="More than 2 hours"/>
    <x v="3"/>
    <x v="1"/>
    <x v="0"/>
    <m/>
    <n v="1"/>
    <n v="0"/>
  </r>
  <r>
    <s v="Call_7845"/>
    <x v="5"/>
    <n v="39"/>
    <x v="0"/>
    <x v="165"/>
    <n v="176"/>
    <n v="4.3"/>
    <n v="2023"/>
    <x v="1"/>
    <s v="30 to 60 mins"/>
    <x v="2"/>
    <x v="2"/>
    <x v="1"/>
    <m/>
    <n v="1"/>
    <n v="0"/>
  </r>
  <r>
    <s v="Call_7846"/>
    <x v="11"/>
    <n v="31"/>
    <x v="4"/>
    <x v="165"/>
    <n v="172"/>
    <n v="3.9"/>
    <n v="2023"/>
    <x v="1"/>
    <s v="30 to 60 mins"/>
    <x v="2"/>
    <x v="2"/>
    <x v="1"/>
    <m/>
    <n v="1"/>
    <n v="0"/>
  </r>
  <r>
    <s v="Call_7847"/>
    <x v="4"/>
    <n v="25"/>
    <x v="2"/>
    <x v="165"/>
    <n v="84"/>
    <n v="4.5"/>
    <n v="2023"/>
    <x v="1"/>
    <s v="10 to 30 mins"/>
    <x v="0"/>
    <x v="0"/>
    <x v="1"/>
    <m/>
    <n v="1"/>
    <n v="1"/>
  </r>
  <r>
    <s v="Call_7848"/>
    <x v="1"/>
    <n v="132"/>
    <x v="3"/>
    <x v="166"/>
    <n v="42"/>
    <n v="5"/>
    <n v="2023"/>
    <x v="2"/>
    <s v="More than 2 hours"/>
    <x v="0"/>
    <x v="0"/>
    <x v="0"/>
    <m/>
    <n v="1"/>
    <n v="1"/>
  </r>
  <r>
    <s v="Call_7849"/>
    <x v="7"/>
    <n v="63"/>
    <x v="1"/>
    <x v="166"/>
    <n v="70"/>
    <n v="1.6"/>
    <n v="2023"/>
    <x v="2"/>
    <s v="1 to 2 hours"/>
    <x v="3"/>
    <x v="2"/>
    <x v="1"/>
    <m/>
    <n v="1"/>
    <n v="0"/>
  </r>
  <r>
    <s v="Call_7850"/>
    <x v="9"/>
    <n v="135"/>
    <x v="3"/>
    <x v="166"/>
    <n v="60"/>
    <n v="4.3"/>
    <n v="2023"/>
    <x v="2"/>
    <s v="More than 2 hours"/>
    <x v="2"/>
    <x v="1"/>
    <x v="1"/>
    <m/>
    <n v="1"/>
    <n v="0"/>
  </r>
  <r>
    <s v="Call_7851"/>
    <x v="6"/>
    <n v="101"/>
    <x v="1"/>
    <x v="166"/>
    <n v="84"/>
    <n v="3.5"/>
    <n v="2023"/>
    <x v="2"/>
    <s v="1 to 2 hours"/>
    <x v="2"/>
    <x v="2"/>
    <x v="1"/>
    <m/>
    <n v="1"/>
    <n v="0"/>
  </r>
  <r>
    <s v="Call_7852"/>
    <x v="8"/>
    <n v="80"/>
    <x v="0"/>
    <x v="167"/>
    <n v="68"/>
    <n v="3.1"/>
    <n v="2023"/>
    <x v="3"/>
    <s v="1 to 2 hours"/>
    <x v="1"/>
    <x v="2"/>
    <x v="0"/>
    <m/>
    <n v="1"/>
    <n v="0"/>
  </r>
  <r>
    <s v="Call_7853"/>
    <x v="13"/>
    <n v="28"/>
    <x v="0"/>
    <x v="167"/>
    <n v="44"/>
    <n v="2.9"/>
    <n v="2023"/>
    <x v="3"/>
    <s v="10 to 30 mins"/>
    <x v="1"/>
    <x v="1"/>
    <x v="0"/>
    <m/>
    <n v="1"/>
    <n v="0"/>
  </r>
  <r>
    <s v="Call_7854"/>
    <x v="6"/>
    <n v="102"/>
    <x v="3"/>
    <x v="168"/>
    <n v="99"/>
    <n v="3.2"/>
    <n v="2023"/>
    <x v="4"/>
    <s v="1 to 2 hours"/>
    <x v="1"/>
    <x v="2"/>
    <x v="1"/>
    <m/>
    <n v="1"/>
    <n v="0"/>
  </r>
  <r>
    <s v="Call_7855"/>
    <x v="7"/>
    <n v="60"/>
    <x v="3"/>
    <x v="169"/>
    <n v="66"/>
    <n v="3.2"/>
    <n v="2023"/>
    <x v="5"/>
    <s v="30 to 60 mins"/>
    <x v="1"/>
    <x v="2"/>
    <x v="1"/>
    <m/>
    <n v="1"/>
    <n v="0"/>
  </r>
  <r>
    <s v="Call_7856"/>
    <x v="3"/>
    <n v="103"/>
    <x v="3"/>
    <x v="169"/>
    <n v="102"/>
    <n v="4.5"/>
    <n v="2023"/>
    <x v="5"/>
    <s v="1 to 2 hours"/>
    <x v="0"/>
    <x v="1"/>
    <x v="1"/>
    <m/>
    <n v="1"/>
    <n v="1"/>
  </r>
  <r>
    <s v="Call_7857"/>
    <x v="8"/>
    <n v="90"/>
    <x v="0"/>
    <x v="170"/>
    <n v="129"/>
    <n v="3.9"/>
    <n v="2024"/>
    <x v="6"/>
    <s v="1 to 2 hours"/>
    <x v="2"/>
    <x v="2"/>
    <x v="0"/>
    <m/>
    <n v="1"/>
    <n v="0"/>
  </r>
  <r>
    <s v="Call_7858"/>
    <x v="12"/>
    <n v="88"/>
    <x v="3"/>
    <x v="170"/>
    <n v="80"/>
    <n v="4.2"/>
    <n v="2024"/>
    <x v="6"/>
    <s v="1 to 2 hours"/>
    <x v="2"/>
    <x v="0"/>
    <x v="1"/>
    <m/>
    <n v="1"/>
    <n v="0"/>
  </r>
  <r>
    <s v="Call_7859"/>
    <x v="3"/>
    <n v="37"/>
    <x v="3"/>
    <x v="170"/>
    <n v="54"/>
    <n v="1.8"/>
    <n v="2024"/>
    <x v="6"/>
    <s v="30 to 60 mins"/>
    <x v="3"/>
    <x v="1"/>
    <x v="1"/>
    <m/>
    <n v="1"/>
    <n v="0"/>
  </r>
  <r>
    <s v="Call_7860"/>
    <x v="13"/>
    <n v="142"/>
    <x v="0"/>
    <x v="170"/>
    <n v="116"/>
    <n v="4.2"/>
    <n v="2024"/>
    <x v="6"/>
    <s v="More than 2 hours"/>
    <x v="2"/>
    <x v="1"/>
    <x v="0"/>
    <m/>
    <n v="1"/>
    <n v="0"/>
  </r>
  <r>
    <s v="Call_7861"/>
    <x v="13"/>
    <n v="153"/>
    <x v="2"/>
    <x v="170"/>
    <n v="102"/>
    <n v="3.1"/>
    <n v="2024"/>
    <x v="6"/>
    <s v="More than 2 hours"/>
    <x v="1"/>
    <x v="1"/>
    <x v="0"/>
    <m/>
    <n v="1"/>
    <n v="0"/>
  </r>
  <r>
    <s v="Call_7862"/>
    <x v="10"/>
    <n v="128"/>
    <x v="1"/>
    <x v="170"/>
    <n v="140"/>
    <n v="4.3"/>
    <n v="2024"/>
    <x v="6"/>
    <s v="More than 2 hours"/>
    <x v="2"/>
    <x v="1"/>
    <x v="0"/>
    <m/>
    <n v="1"/>
    <n v="0"/>
  </r>
  <r>
    <s v="Call_7863"/>
    <x v="7"/>
    <n v="110"/>
    <x v="1"/>
    <x v="171"/>
    <n v="104"/>
    <n v="4.4000000000000004"/>
    <n v="2024"/>
    <x v="0"/>
    <s v="1 to 2 hours"/>
    <x v="2"/>
    <x v="2"/>
    <x v="1"/>
    <m/>
    <n v="1"/>
    <n v="0"/>
  </r>
  <r>
    <s v="Call_7864"/>
    <x v="10"/>
    <n v="139"/>
    <x v="3"/>
    <x v="171"/>
    <n v="81"/>
    <n v="4.4000000000000004"/>
    <n v="2024"/>
    <x v="0"/>
    <s v="More than 2 hours"/>
    <x v="2"/>
    <x v="1"/>
    <x v="0"/>
    <m/>
    <n v="1"/>
    <n v="0"/>
  </r>
  <r>
    <s v="Call_7865"/>
    <x v="6"/>
    <n v="109"/>
    <x v="4"/>
    <x v="172"/>
    <n v="140"/>
    <n v="2.4"/>
    <n v="2024"/>
    <x v="2"/>
    <s v="1 to 2 hours"/>
    <x v="3"/>
    <x v="2"/>
    <x v="1"/>
    <m/>
    <n v="1"/>
    <n v="0"/>
  </r>
  <r>
    <s v="Call_7866"/>
    <x v="1"/>
    <n v="57"/>
    <x v="0"/>
    <x v="173"/>
    <n v="120"/>
    <n v="3.5"/>
    <n v="2024"/>
    <x v="3"/>
    <s v="30 to 60 mins"/>
    <x v="2"/>
    <x v="0"/>
    <x v="0"/>
    <m/>
    <n v="1"/>
    <n v="0"/>
  </r>
  <r>
    <s v="Call_7867"/>
    <x v="6"/>
    <n v="68"/>
    <x v="3"/>
    <x v="173"/>
    <n v="41"/>
    <n v="3.1"/>
    <n v="2024"/>
    <x v="3"/>
    <s v="1 to 2 hours"/>
    <x v="1"/>
    <x v="2"/>
    <x v="1"/>
    <m/>
    <n v="1"/>
    <n v="0"/>
  </r>
  <r>
    <s v="Call_7868"/>
    <x v="4"/>
    <n v="128"/>
    <x v="3"/>
    <x v="173"/>
    <n v="116"/>
    <n v="2.2999999999999998"/>
    <n v="2024"/>
    <x v="3"/>
    <s v="More than 2 hours"/>
    <x v="3"/>
    <x v="0"/>
    <x v="1"/>
    <m/>
    <n v="1"/>
    <n v="0"/>
  </r>
  <r>
    <s v="Call_7869"/>
    <x v="0"/>
    <n v="102"/>
    <x v="0"/>
    <x v="174"/>
    <n v="70"/>
    <n v="2.8"/>
    <n v="2024"/>
    <x v="4"/>
    <s v="1 to 2 hours"/>
    <x v="1"/>
    <x v="0"/>
    <x v="0"/>
    <m/>
    <n v="1"/>
    <n v="0"/>
  </r>
  <r>
    <s v="Call_7870"/>
    <x v="10"/>
    <n v="52"/>
    <x v="2"/>
    <x v="174"/>
    <n v="42"/>
    <n v="4.5"/>
    <n v="2024"/>
    <x v="4"/>
    <s v="30 to 60 mins"/>
    <x v="0"/>
    <x v="1"/>
    <x v="0"/>
    <m/>
    <n v="1"/>
    <n v="1"/>
  </r>
  <r>
    <s v="Call_7871"/>
    <x v="4"/>
    <n v="55"/>
    <x v="1"/>
    <x v="175"/>
    <n v="112"/>
    <n v="4.5"/>
    <n v="2024"/>
    <x v="5"/>
    <s v="30 to 60 mins"/>
    <x v="0"/>
    <x v="0"/>
    <x v="1"/>
    <m/>
    <n v="1"/>
    <n v="1"/>
  </r>
  <r>
    <s v="Call_7872"/>
    <x v="3"/>
    <n v="107"/>
    <x v="3"/>
    <x v="175"/>
    <n v="20"/>
    <n v="4.5"/>
    <n v="2024"/>
    <x v="5"/>
    <s v="1 to 2 hours"/>
    <x v="0"/>
    <x v="1"/>
    <x v="1"/>
    <m/>
    <n v="1"/>
    <n v="1"/>
  </r>
  <r>
    <s v="Call_7873"/>
    <x v="8"/>
    <n v="88"/>
    <x v="2"/>
    <x v="176"/>
    <n v="110"/>
    <n v="4.8"/>
    <n v="2024"/>
    <x v="6"/>
    <s v="1 to 2 hours"/>
    <x v="0"/>
    <x v="2"/>
    <x v="0"/>
    <m/>
    <n v="1"/>
    <n v="1"/>
  </r>
  <r>
    <s v="Call_7874"/>
    <x v="5"/>
    <n v="49"/>
    <x v="2"/>
    <x v="176"/>
    <n v="39"/>
    <n v="4.5999999999999996"/>
    <n v="2024"/>
    <x v="6"/>
    <s v="30 to 60 mins"/>
    <x v="0"/>
    <x v="2"/>
    <x v="1"/>
    <m/>
    <n v="1"/>
    <n v="1"/>
  </r>
  <r>
    <s v="Call_7875"/>
    <x v="8"/>
    <n v="72"/>
    <x v="0"/>
    <x v="176"/>
    <n v="76"/>
    <n v="4.5"/>
    <n v="2024"/>
    <x v="6"/>
    <s v="1 to 2 hours"/>
    <x v="0"/>
    <x v="2"/>
    <x v="0"/>
    <m/>
    <n v="1"/>
    <n v="1"/>
  </r>
  <r>
    <s v="Call_7876"/>
    <x v="1"/>
    <n v="50"/>
    <x v="0"/>
    <x v="176"/>
    <n v="40"/>
    <n v="5"/>
    <n v="2024"/>
    <x v="6"/>
    <s v="30 to 60 mins"/>
    <x v="0"/>
    <x v="0"/>
    <x v="0"/>
    <m/>
    <n v="1"/>
    <n v="1"/>
  </r>
  <r>
    <s v="Call_7877"/>
    <x v="8"/>
    <n v="52"/>
    <x v="3"/>
    <x v="176"/>
    <n v="42"/>
    <n v="4.8"/>
    <n v="2024"/>
    <x v="6"/>
    <s v="30 to 60 mins"/>
    <x v="0"/>
    <x v="2"/>
    <x v="0"/>
    <m/>
    <n v="1"/>
    <n v="1"/>
  </r>
  <r>
    <s v="Call_7878"/>
    <x v="2"/>
    <n v="85"/>
    <x v="4"/>
    <x v="177"/>
    <n v="215"/>
    <n v="3.5"/>
    <n v="2024"/>
    <x v="0"/>
    <s v="1 to 2 hours"/>
    <x v="2"/>
    <x v="1"/>
    <x v="0"/>
    <m/>
    <n v="1"/>
    <n v="0"/>
  </r>
  <r>
    <s v="Call_7879"/>
    <x v="9"/>
    <n v="98"/>
    <x v="4"/>
    <x v="178"/>
    <n v="130"/>
    <n v="3.4"/>
    <n v="2024"/>
    <x v="1"/>
    <s v="1 to 2 hours"/>
    <x v="1"/>
    <x v="1"/>
    <x v="1"/>
    <m/>
    <n v="1"/>
    <n v="0"/>
  </r>
  <r>
    <s v="Call_7880"/>
    <x v="11"/>
    <n v="52"/>
    <x v="4"/>
    <x v="178"/>
    <n v="190"/>
    <n v="3.3"/>
    <n v="2024"/>
    <x v="1"/>
    <s v="30 to 60 mins"/>
    <x v="1"/>
    <x v="2"/>
    <x v="1"/>
    <m/>
    <n v="1"/>
    <n v="0"/>
  </r>
  <r>
    <s v="Call_7881"/>
    <x v="4"/>
    <n v="154"/>
    <x v="2"/>
    <x v="178"/>
    <n v="164"/>
    <n v="4.9000000000000004"/>
    <n v="2024"/>
    <x v="1"/>
    <s v="More than 2 hours"/>
    <x v="0"/>
    <x v="0"/>
    <x v="1"/>
    <m/>
    <n v="1"/>
    <n v="1"/>
  </r>
  <r>
    <s v="Call_7882"/>
    <x v="14"/>
    <n v="131"/>
    <x v="1"/>
    <x v="179"/>
    <n v="76"/>
    <n v="4.5"/>
    <n v="2024"/>
    <x v="2"/>
    <s v="More than 2 hours"/>
    <x v="0"/>
    <x v="2"/>
    <x v="1"/>
    <m/>
    <n v="1"/>
    <n v="1"/>
  </r>
  <r>
    <s v="Call_7883"/>
    <x v="2"/>
    <n v="73"/>
    <x v="1"/>
    <x v="180"/>
    <n v="87"/>
    <n v="4.8"/>
    <n v="2024"/>
    <x v="3"/>
    <s v="1 to 2 hours"/>
    <x v="0"/>
    <x v="1"/>
    <x v="0"/>
    <m/>
    <n v="1"/>
    <n v="1"/>
  </r>
  <r>
    <s v="Call_7884"/>
    <x v="7"/>
    <n v="45"/>
    <x v="4"/>
    <x v="180"/>
    <n v="84"/>
    <n v="4.8"/>
    <n v="2024"/>
    <x v="3"/>
    <s v="30 to 60 mins"/>
    <x v="0"/>
    <x v="2"/>
    <x v="1"/>
    <m/>
    <n v="1"/>
    <n v="1"/>
  </r>
  <r>
    <s v="Call_7885"/>
    <x v="10"/>
    <n v="114"/>
    <x v="3"/>
    <x v="180"/>
    <n v="114"/>
    <n v="3.9"/>
    <n v="2024"/>
    <x v="3"/>
    <s v="1 to 2 hours"/>
    <x v="2"/>
    <x v="1"/>
    <x v="0"/>
    <m/>
    <n v="1"/>
    <n v="0"/>
  </r>
  <r>
    <s v="Call_7886"/>
    <x v="9"/>
    <n v="69"/>
    <x v="1"/>
    <x v="181"/>
    <n v="56"/>
    <n v="3.9"/>
    <n v="2024"/>
    <x v="4"/>
    <s v="1 to 2 hours"/>
    <x v="2"/>
    <x v="1"/>
    <x v="1"/>
    <m/>
    <n v="1"/>
    <n v="0"/>
  </r>
  <r>
    <s v="Call_7887"/>
    <x v="14"/>
    <n v="33"/>
    <x v="2"/>
    <x v="181"/>
    <n v="27"/>
    <n v="3.7"/>
    <n v="2024"/>
    <x v="4"/>
    <s v="30 to 60 mins"/>
    <x v="2"/>
    <x v="2"/>
    <x v="1"/>
    <m/>
    <n v="1"/>
    <n v="0"/>
  </r>
  <r>
    <s v="Call_7888"/>
    <x v="1"/>
    <n v="31"/>
    <x v="0"/>
    <x v="182"/>
    <n v="84"/>
    <n v="4.8"/>
    <n v="2024"/>
    <x v="5"/>
    <s v="30 to 60 mins"/>
    <x v="0"/>
    <x v="0"/>
    <x v="0"/>
    <m/>
    <n v="1"/>
    <n v="1"/>
  </r>
  <r>
    <s v="Call_7889"/>
    <x v="7"/>
    <n v="168"/>
    <x v="2"/>
    <x v="182"/>
    <n v="72"/>
    <n v="3.5"/>
    <n v="2024"/>
    <x v="5"/>
    <s v="More than 2 hours"/>
    <x v="2"/>
    <x v="2"/>
    <x v="1"/>
    <m/>
    <n v="1"/>
    <n v="0"/>
  </r>
  <r>
    <s v="Call_7890"/>
    <x v="2"/>
    <n v="111"/>
    <x v="3"/>
    <x v="183"/>
    <n v="126"/>
    <n v="4.2"/>
    <n v="2024"/>
    <x v="6"/>
    <s v="1 to 2 hours"/>
    <x v="2"/>
    <x v="1"/>
    <x v="0"/>
    <m/>
    <n v="1"/>
    <n v="0"/>
  </r>
  <r>
    <s v="Call_7891"/>
    <x v="1"/>
    <n v="80"/>
    <x v="2"/>
    <x v="184"/>
    <n v="88"/>
    <n v="4.9000000000000004"/>
    <n v="2024"/>
    <x v="0"/>
    <s v="1 to 2 hours"/>
    <x v="0"/>
    <x v="0"/>
    <x v="0"/>
    <m/>
    <n v="1"/>
    <n v="1"/>
  </r>
  <r>
    <s v="Call_7892"/>
    <x v="0"/>
    <n v="37"/>
    <x v="2"/>
    <x v="184"/>
    <n v="124"/>
    <n v="4.5999999999999996"/>
    <n v="2024"/>
    <x v="0"/>
    <s v="30 to 60 mins"/>
    <x v="0"/>
    <x v="0"/>
    <x v="0"/>
    <m/>
    <n v="1"/>
    <n v="1"/>
  </r>
  <r>
    <s v="Call_7893"/>
    <x v="13"/>
    <n v="137"/>
    <x v="2"/>
    <x v="185"/>
    <n v="84"/>
    <n v="2.6"/>
    <n v="2024"/>
    <x v="1"/>
    <s v="More than 2 hours"/>
    <x v="1"/>
    <x v="1"/>
    <x v="0"/>
    <m/>
    <n v="1"/>
    <n v="0"/>
  </r>
  <r>
    <s v="Call_7894"/>
    <x v="9"/>
    <n v="123"/>
    <x v="3"/>
    <x v="185"/>
    <n v="80"/>
    <n v="2.7"/>
    <n v="2024"/>
    <x v="1"/>
    <s v="More than 2 hours"/>
    <x v="1"/>
    <x v="1"/>
    <x v="1"/>
    <m/>
    <n v="1"/>
    <n v="0"/>
  </r>
  <r>
    <s v="Call_7895"/>
    <x v="12"/>
    <n v="105"/>
    <x v="3"/>
    <x v="186"/>
    <n v="176"/>
    <n v="4.7"/>
    <n v="2024"/>
    <x v="2"/>
    <s v="1 to 2 hours"/>
    <x v="0"/>
    <x v="0"/>
    <x v="1"/>
    <m/>
    <n v="1"/>
    <n v="1"/>
  </r>
  <r>
    <s v="Call_7896"/>
    <x v="0"/>
    <n v="76"/>
    <x v="4"/>
    <x v="187"/>
    <n v="84"/>
    <n v="3.9"/>
    <n v="2024"/>
    <x v="3"/>
    <s v="1 to 2 hours"/>
    <x v="2"/>
    <x v="0"/>
    <x v="0"/>
    <m/>
    <n v="1"/>
    <n v="0"/>
  </r>
  <r>
    <s v="Call_7897"/>
    <x v="1"/>
    <n v="144"/>
    <x v="4"/>
    <x v="187"/>
    <n v="164"/>
    <n v="2.8"/>
    <n v="2024"/>
    <x v="3"/>
    <s v="More than 2 hours"/>
    <x v="1"/>
    <x v="0"/>
    <x v="0"/>
    <m/>
    <n v="1"/>
    <n v="0"/>
  </r>
  <r>
    <s v="Call_7898"/>
    <x v="14"/>
    <n v="109"/>
    <x v="0"/>
    <x v="187"/>
    <n v="132"/>
    <n v="3.1"/>
    <n v="2024"/>
    <x v="3"/>
    <s v="1 to 2 hours"/>
    <x v="1"/>
    <x v="2"/>
    <x v="1"/>
    <m/>
    <n v="1"/>
    <n v="0"/>
  </r>
  <r>
    <s v="Call_7899"/>
    <x v="9"/>
    <n v="172"/>
    <x v="2"/>
    <x v="188"/>
    <n v="27"/>
    <n v="4.2"/>
    <n v="2024"/>
    <x v="4"/>
    <s v="More than 2 hours"/>
    <x v="2"/>
    <x v="1"/>
    <x v="1"/>
    <m/>
    <n v="1"/>
    <n v="0"/>
  </r>
  <r>
    <s v="Call_7900"/>
    <x v="1"/>
    <n v="56"/>
    <x v="3"/>
    <x v="188"/>
    <n v="27"/>
    <n v="4.3"/>
    <n v="2024"/>
    <x v="4"/>
    <s v="30 to 60 mins"/>
    <x v="2"/>
    <x v="0"/>
    <x v="0"/>
    <m/>
    <n v="1"/>
    <n v="0"/>
  </r>
  <r>
    <s v="Call_7901"/>
    <x v="1"/>
    <n v="121"/>
    <x v="1"/>
    <x v="188"/>
    <n v="20"/>
    <n v="2.7"/>
    <n v="2024"/>
    <x v="4"/>
    <s v="More than 2 hours"/>
    <x v="1"/>
    <x v="0"/>
    <x v="0"/>
    <m/>
    <n v="1"/>
    <n v="0"/>
  </r>
  <r>
    <s v="Call_7902"/>
    <x v="9"/>
    <n v="41"/>
    <x v="3"/>
    <x v="189"/>
    <n v="112"/>
    <n v="2.2999999999999998"/>
    <n v="2024"/>
    <x v="5"/>
    <s v="30 to 60 mins"/>
    <x v="3"/>
    <x v="1"/>
    <x v="1"/>
    <m/>
    <n v="1"/>
    <n v="0"/>
  </r>
  <r>
    <s v="Call_7903"/>
    <x v="3"/>
    <n v="60"/>
    <x v="2"/>
    <x v="189"/>
    <n v="60"/>
    <n v="2.2999999999999998"/>
    <n v="2024"/>
    <x v="5"/>
    <s v="30 to 60 mins"/>
    <x v="3"/>
    <x v="1"/>
    <x v="1"/>
    <m/>
    <n v="1"/>
    <n v="0"/>
  </r>
  <r>
    <s v="Call_7904"/>
    <x v="3"/>
    <n v="144"/>
    <x v="2"/>
    <x v="190"/>
    <n v="102"/>
    <n v="2.9"/>
    <n v="2024"/>
    <x v="6"/>
    <s v="More than 2 hours"/>
    <x v="1"/>
    <x v="1"/>
    <x v="1"/>
    <m/>
    <n v="1"/>
    <n v="0"/>
  </r>
  <r>
    <s v="Call_7905"/>
    <x v="4"/>
    <n v="67"/>
    <x v="2"/>
    <x v="190"/>
    <n v="38"/>
    <n v="4.2"/>
    <n v="2024"/>
    <x v="6"/>
    <s v="1 to 2 hours"/>
    <x v="2"/>
    <x v="0"/>
    <x v="1"/>
    <m/>
    <n v="1"/>
    <n v="0"/>
  </r>
  <r>
    <s v="Call_7906"/>
    <x v="9"/>
    <n v="162"/>
    <x v="0"/>
    <x v="190"/>
    <n v="82"/>
    <n v="4.5999999999999996"/>
    <n v="2024"/>
    <x v="6"/>
    <s v="More than 2 hours"/>
    <x v="0"/>
    <x v="1"/>
    <x v="1"/>
    <m/>
    <n v="1"/>
    <n v="1"/>
  </r>
  <r>
    <s v="Call_7907"/>
    <x v="3"/>
    <n v="87"/>
    <x v="1"/>
    <x v="191"/>
    <n v="125"/>
    <n v="4.5"/>
    <n v="2024"/>
    <x v="2"/>
    <s v="1 to 2 hours"/>
    <x v="0"/>
    <x v="1"/>
    <x v="1"/>
    <m/>
    <n v="1"/>
    <n v="1"/>
  </r>
  <r>
    <s v="Call_7908"/>
    <x v="11"/>
    <n v="10"/>
    <x v="4"/>
    <x v="192"/>
    <n v="72"/>
    <n v="3.7"/>
    <n v="2024"/>
    <x v="3"/>
    <s v="Under 10 mins"/>
    <x v="2"/>
    <x v="2"/>
    <x v="1"/>
    <m/>
    <n v="1"/>
    <n v="0"/>
  </r>
  <r>
    <s v="Call_7909"/>
    <x v="1"/>
    <n v="138"/>
    <x v="4"/>
    <x v="192"/>
    <n v="195"/>
    <n v="4.0999999999999996"/>
    <n v="2024"/>
    <x v="3"/>
    <s v="More than 2 hours"/>
    <x v="2"/>
    <x v="0"/>
    <x v="0"/>
    <m/>
    <n v="1"/>
    <n v="0"/>
  </r>
  <r>
    <s v="Call_7910"/>
    <x v="9"/>
    <n v="31"/>
    <x v="4"/>
    <x v="193"/>
    <n v="160"/>
    <n v="3.4"/>
    <n v="2024"/>
    <x v="4"/>
    <s v="30 to 60 mins"/>
    <x v="1"/>
    <x v="1"/>
    <x v="1"/>
    <m/>
    <n v="1"/>
    <n v="0"/>
  </r>
  <r>
    <s v="Call_7911"/>
    <x v="12"/>
    <n v="75"/>
    <x v="0"/>
    <x v="193"/>
    <n v="78"/>
    <n v="3.3"/>
    <n v="2024"/>
    <x v="4"/>
    <s v="1 to 2 hours"/>
    <x v="1"/>
    <x v="0"/>
    <x v="1"/>
    <m/>
    <n v="1"/>
    <n v="0"/>
  </r>
  <r>
    <s v="Call_7912"/>
    <x v="0"/>
    <n v="65"/>
    <x v="0"/>
    <x v="194"/>
    <n v="70"/>
    <n v="4.4000000000000004"/>
    <n v="2024"/>
    <x v="5"/>
    <s v="1 to 2 hours"/>
    <x v="2"/>
    <x v="0"/>
    <x v="0"/>
    <m/>
    <n v="1"/>
    <n v="0"/>
  </r>
  <r>
    <s v="Call_7913"/>
    <x v="2"/>
    <n v="106"/>
    <x v="3"/>
    <x v="194"/>
    <n v="105"/>
    <n v="4.2"/>
    <n v="2024"/>
    <x v="5"/>
    <s v="1 to 2 hours"/>
    <x v="2"/>
    <x v="1"/>
    <x v="0"/>
    <m/>
    <n v="1"/>
    <n v="0"/>
  </r>
  <r>
    <s v="Call_7914"/>
    <x v="0"/>
    <n v="107"/>
    <x v="3"/>
    <x v="195"/>
    <n v="78"/>
    <n v="3.4"/>
    <n v="2024"/>
    <x v="6"/>
    <s v="1 to 2 hours"/>
    <x v="1"/>
    <x v="0"/>
    <x v="0"/>
    <m/>
    <n v="1"/>
    <n v="0"/>
  </r>
  <r>
    <s v="Call_7915"/>
    <x v="13"/>
    <n v="78"/>
    <x v="3"/>
    <x v="196"/>
    <n v="205"/>
    <n v="4.4000000000000004"/>
    <n v="2024"/>
    <x v="1"/>
    <s v="1 to 2 hours"/>
    <x v="2"/>
    <x v="1"/>
    <x v="0"/>
    <m/>
    <n v="1"/>
    <n v="0"/>
  </r>
  <r>
    <s v="Call_7916"/>
    <x v="8"/>
    <n v="122"/>
    <x v="3"/>
    <x v="196"/>
    <n v="78"/>
    <n v="2.7"/>
    <n v="2024"/>
    <x v="1"/>
    <s v="More than 2 hours"/>
    <x v="1"/>
    <x v="2"/>
    <x v="0"/>
    <m/>
    <n v="1"/>
    <n v="0"/>
  </r>
  <r>
    <s v="Call_7917"/>
    <x v="1"/>
    <n v="58"/>
    <x v="4"/>
    <x v="196"/>
    <n v="38"/>
    <n v="4.5"/>
    <n v="2024"/>
    <x v="1"/>
    <s v="30 to 60 mins"/>
    <x v="0"/>
    <x v="0"/>
    <x v="0"/>
    <m/>
    <n v="1"/>
    <n v="1"/>
  </r>
  <r>
    <s v="Call_7918"/>
    <x v="13"/>
    <n v="33"/>
    <x v="2"/>
    <x v="196"/>
    <n v="92"/>
    <n v="1.7"/>
    <n v="2024"/>
    <x v="1"/>
    <s v="30 to 60 mins"/>
    <x v="3"/>
    <x v="1"/>
    <x v="0"/>
    <m/>
    <n v="1"/>
    <n v="0"/>
  </r>
  <r>
    <s v="Call_7919"/>
    <x v="14"/>
    <n v="164"/>
    <x v="0"/>
    <x v="196"/>
    <n v="36"/>
    <n v="4.7"/>
    <n v="2024"/>
    <x v="1"/>
    <s v="More than 2 hours"/>
    <x v="0"/>
    <x v="2"/>
    <x v="1"/>
    <m/>
    <n v="1"/>
    <n v="1"/>
  </r>
  <r>
    <s v="Call_7920"/>
    <x v="12"/>
    <n v="163"/>
    <x v="1"/>
    <x v="196"/>
    <n v="76"/>
    <n v="4.4000000000000004"/>
    <n v="2024"/>
    <x v="1"/>
    <s v="More than 2 hours"/>
    <x v="2"/>
    <x v="0"/>
    <x v="1"/>
    <m/>
    <n v="1"/>
    <n v="0"/>
  </r>
  <r>
    <s v="Call_7921"/>
    <x v="5"/>
    <n v="71"/>
    <x v="0"/>
    <x v="197"/>
    <n v="170"/>
    <n v="3.5"/>
    <n v="2024"/>
    <x v="3"/>
    <s v="1 to 2 hours"/>
    <x v="2"/>
    <x v="2"/>
    <x v="1"/>
    <m/>
    <n v="1"/>
    <n v="0"/>
  </r>
  <r>
    <s v="Call_7922"/>
    <x v="13"/>
    <n v="103"/>
    <x v="4"/>
    <x v="198"/>
    <n v="117"/>
    <n v="4.7"/>
    <n v="2024"/>
    <x v="4"/>
    <s v="1 to 2 hours"/>
    <x v="0"/>
    <x v="1"/>
    <x v="0"/>
    <m/>
    <n v="1"/>
    <n v="1"/>
  </r>
  <r>
    <s v="Call_7923"/>
    <x v="10"/>
    <n v="69"/>
    <x v="1"/>
    <x v="198"/>
    <n v="20"/>
    <n v="4.3"/>
    <n v="2024"/>
    <x v="4"/>
    <s v="1 to 2 hours"/>
    <x v="2"/>
    <x v="1"/>
    <x v="0"/>
    <m/>
    <n v="1"/>
    <n v="0"/>
  </r>
  <r>
    <s v="Call_7924"/>
    <x v="12"/>
    <n v="111"/>
    <x v="4"/>
    <x v="198"/>
    <n v="99"/>
    <n v="4.0999999999999996"/>
    <n v="2024"/>
    <x v="4"/>
    <s v="1 to 2 hours"/>
    <x v="2"/>
    <x v="0"/>
    <x v="1"/>
    <m/>
    <n v="1"/>
    <n v="0"/>
  </r>
  <r>
    <s v="Call_7925"/>
    <x v="6"/>
    <n v="97"/>
    <x v="1"/>
    <x v="199"/>
    <n v="105"/>
    <n v="2.9"/>
    <n v="2024"/>
    <x v="5"/>
    <s v="1 to 2 hours"/>
    <x v="1"/>
    <x v="2"/>
    <x v="1"/>
    <m/>
    <n v="1"/>
    <n v="0"/>
  </r>
  <r>
    <s v="Call_7926"/>
    <x v="7"/>
    <n v="144"/>
    <x v="3"/>
    <x v="199"/>
    <n v="195"/>
    <n v="3.4"/>
    <n v="2024"/>
    <x v="5"/>
    <s v="More than 2 hours"/>
    <x v="1"/>
    <x v="2"/>
    <x v="1"/>
    <m/>
    <n v="1"/>
    <n v="0"/>
  </r>
  <r>
    <s v="Call_7927"/>
    <x v="2"/>
    <n v="56"/>
    <x v="1"/>
    <x v="200"/>
    <n v="152"/>
    <n v="4.5999999999999996"/>
    <n v="2024"/>
    <x v="6"/>
    <s v="30 to 60 mins"/>
    <x v="0"/>
    <x v="1"/>
    <x v="0"/>
    <m/>
    <n v="1"/>
    <n v="1"/>
  </r>
  <r>
    <s v="Call_7928"/>
    <x v="7"/>
    <n v="132"/>
    <x v="3"/>
    <x v="201"/>
    <n v="195"/>
    <n v="4.9000000000000004"/>
    <n v="2024"/>
    <x v="0"/>
    <s v="More than 2 hours"/>
    <x v="0"/>
    <x v="2"/>
    <x v="1"/>
    <m/>
    <n v="1"/>
    <n v="1"/>
  </r>
  <r>
    <s v="Call_7929"/>
    <x v="5"/>
    <n v="72"/>
    <x v="2"/>
    <x v="201"/>
    <n v="70"/>
    <n v="3.6"/>
    <n v="2024"/>
    <x v="0"/>
    <s v="1 to 2 hours"/>
    <x v="2"/>
    <x v="2"/>
    <x v="1"/>
    <m/>
    <n v="1"/>
    <n v="0"/>
  </r>
  <r>
    <s v="Call_7930"/>
    <x v="12"/>
    <n v="18"/>
    <x v="2"/>
    <x v="201"/>
    <n v="22"/>
    <n v="3.5"/>
    <n v="2024"/>
    <x v="0"/>
    <s v="10 to 30 mins"/>
    <x v="2"/>
    <x v="0"/>
    <x v="1"/>
    <m/>
    <n v="1"/>
    <n v="0"/>
  </r>
  <r>
    <s v="Call_7931"/>
    <x v="4"/>
    <n v="115"/>
    <x v="4"/>
    <x v="202"/>
    <n v="40"/>
    <n v="3.3"/>
    <n v="2024"/>
    <x v="1"/>
    <s v="1 to 2 hours"/>
    <x v="1"/>
    <x v="0"/>
    <x v="1"/>
    <m/>
    <n v="1"/>
    <n v="0"/>
  </r>
  <r>
    <s v="Call_7932"/>
    <x v="4"/>
    <n v="124"/>
    <x v="1"/>
    <x v="203"/>
    <n v="54"/>
    <n v="3.8"/>
    <n v="2024"/>
    <x v="2"/>
    <s v="More than 2 hours"/>
    <x v="2"/>
    <x v="0"/>
    <x v="1"/>
    <m/>
    <n v="1"/>
    <n v="0"/>
  </r>
  <r>
    <s v="Call_7933"/>
    <x v="1"/>
    <n v="130"/>
    <x v="1"/>
    <x v="203"/>
    <n v="60"/>
    <n v="2.5"/>
    <n v="2024"/>
    <x v="2"/>
    <s v="More than 2 hours"/>
    <x v="1"/>
    <x v="0"/>
    <x v="0"/>
    <m/>
    <n v="1"/>
    <n v="0"/>
  </r>
  <r>
    <s v="Call_7934"/>
    <x v="11"/>
    <n v="120"/>
    <x v="0"/>
    <x v="204"/>
    <n v="58"/>
    <n v="4.5999999999999996"/>
    <n v="2024"/>
    <x v="4"/>
    <s v="1 to 2 hours"/>
    <x v="0"/>
    <x v="2"/>
    <x v="1"/>
    <m/>
    <n v="1"/>
    <n v="1"/>
  </r>
  <r>
    <s v="Call_7935"/>
    <x v="6"/>
    <n v="75"/>
    <x v="4"/>
    <x v="204"/>
    <n v="220"/>
    <n v="4.7"/>
    <n v="2024"/>
    <x v="4"/>
    <s v="1 to 2 hours"/>
    <x v="0"/>
    <x v="2"/>
    <x v="1"/>
    <m/>
    <n v="1"/>
    <n v="1"/>
  </r>
  <r>
    <s v="Call_7936"/>
    <x v="0"/>
    <n v="63"/>
    <x v="4"/>
    <x v="204"/>
    <n v="27"/>
    <n v="3.6"/>
    <n v="2024"/>
    <x v="4"/>
    <s v="1 to 2 hours"/>
    <x v="2"/>
    <x v="0"/>
    <x v="0"/>
    <m/>
    <n v="1"/>
    <n v="0"/>
  </r>
  <r>
    <s v="Call_7937"/>
    <x v="7"/>
    <n v="74"/>
    <x v="4"/>
    <x v="205"/>
    <n v="26"/>
    <n v="4.3"/>
    <n v="2024"/>
    <x v="6"/>
    <s v="1 to 2 hours"/>
    <x v="2"/>
    <x v="2"/>
    <x v="1"/>
    <m/>
    <n v="1"/>
    <n v="0"/>
  </r>
  <r>
    <s v="Call_7938"/>
    <x v="10"/>
    <n v="134"/>
    <x v="3"/>
    <x v="206"/>
    <n v="160"/>
    <n v="4.7"/>
    <n v="2024"/>
    <x v="0"/>
    <s v="More than 2 hours"/>
    <x v="0"/>
    <x v="1"/>
    <x v="0"/>
    <m/>
    <n v="1"/>
    <n v="1"/>
  </r>
  <r>
    <s v="Call_7939"/>
    <x v="12"/>
    <n v="103"/>
    <x v="1"/>
    <x v="206"/>
    <n v="200"/>
    <n v="4.9000000000000004"/>
    <n v="2024"/>
    <x v="0"/>
    <s v="1 to 2 hours"/>
    <x v="0"/>
    <x v="0"/>
    <x v="1"/>
    <m/>
    <n v="1"/>
    <n v="1"/>
  </r>
  <r>
    <s v="Call_7940"/>
    <x v="12"/>
    <n v="155"/>
    <x v="0"/>
    <x v="207"/>
    <n v="135"/>
    <n v="4.9000000000000004"/>
    <n v="2024"/>
    <x v="3"/>
    <s v="More than 2 hours"/>
    <x v="0"/>
    <x v="0"/>
    <x v="1"/>
    <m/>
    <n v="1"/>
    <n v="1"/>
  </r>
  <r>
    <s v="Call_7941"/>
    <x v="0"/>
    <n v="128"/>
    <x v="1"/>
    <x v="208"/>
    <n v="22"/>
    <n v="1.9"/>
    <n v="2024"/>
    <x v="4"/>
    <s v="More than 2 hours"/>
    <x v="3"/>
    <x v="0"/>
    <x v="0"/>
    <m/>
    <n v="1"/>
    <n v="0"/>
  </r>
  <r>
    <s v="Call_7942"/>
    <x v="6"/>
    <n v="89"/>
    <x v="3"/>
    <x v="209"/>
    <n v="164"/>
    <n v="4.5"/>
    <n v="2024"/>
    <x v="5"/>
    <s v="1 to 2 hours"/>
    <x v="0"/>
    <x v="2"/>
    <x v="1"/>
    <m/>
    <n v="1"/>
    <n v="1"/>
  </r>
  <r>
    <s v="Call_7943"/>
    <x v="4"/>
    <n v="81"/>
    <x v="0"/>
    <x v="209"/>
    <n v="21"/>
    <n v="4.9000000000000004"/>
    <n v="2024"/>
    <x v="5"/>
    <s v="1 to 2 hours"/>
    <x v="0"/>
    <x v="0"/>
    <x v="1"/>
    <m/>
    <n v="1"/>
    <n v="1"/>
  </r>
  <r>
    <s v="Call_7944"/>
    <x v="6"/>
    <n v="66"/>
    <x v="3"/>
    <x v="210"/>
    <n v="120"/>
    <n v="4.5"/>
    <n v="2024"/>
    <x v="6"/>
    <s v="1 to 2 hours"/>
    <x v="0"/>
    <x v="2"/>
    <x v="1"/>
    <m/>
    <n v="1"/>
    <n v="1"/>
  </r>
  <r>
    <s v="Call_7945"/>
    <x v="5"/>
    <n v="61"/>
    <x v="2"/>
    <x v="210"/>
    <n v="93"/>
    <n v="2.7"/>
    <n v="2024"/>
    <x v="6"/>
    <s v="1 to 2 hours"/>
    <x v="1"/>
    <x v="2"/>
    <x v="1"/>
    <m/>
    <n v="1"/>
    <n v="0"/>
  </r>
  <r>
    <s v="Call_7946"/>
    <x v="4"/>
    <n v="128"/>
    <x v="2"/>
    <x v="210"/>
    <n v="135"/>
    <n v="2.1"/>
    <n v="2024"/>
    <x v="6"/>
    <s v="More than 2 hours"/>
    <x v="3"/>
    <x v="0"/>
    <x v="1"/>
    <m/>
    <n v="1"/>
    <n v="0"/>
  </r>
  <r>
    <s v="Call_7947"/>
    <x v="12"/>
    <n v="30"/>
    <x v="0"/>
    <x v="210"/>
    <n v="210"/>
    <n v="4.2"/>
    <n v="2024"/>
    <x v="6"/>
    <s v="10 to 30 mins"/>
    <x v="2"/>
    <x v="0"/>
    <x v="1"/>
    <m/>
    <n v="1"/>
    <n v="0"/>
  </r>
  <r>
    <s v="Call_7948"/>
    <x v="14"/>
    <n v="63"/>
    <x v="2"/>
    <x v="211"/>
    <n v="29"/>
    <n v="4.7"/>
    <n v="2024"/>
    <x v="0"/>
    <s v="1 to 2 hours"/>
    <x v="0"/>
    <x v="2"/>
    <x v="1"/>
    <m/>
    <n v="1"/>
    <n v="1"/>
  </r>
  <r>
    <s v="Call_7949"/>
    <x v="8"/>
    <n v="64"/>
    <x v="4"/>
    <x v="211"/>
    <n v="111"/>
    <n v="3.9"/>
    <n v="2024"/>
    <x v="0"/>
    <s v="1 to 2 hours"/>
    <x v="2"/>
    <x v="2"/>
    <x v="0"/>
    <m/>
    <n v="1"/>
    <n v="0"/>
  </r>
  <r>
    <s v="Call_7950"/>
    <x v="3"/>
    <n v="151"/>
    <x v="1"/>
    <x v="212"/>
    <n v="63"/>
    <n v="4.0999999999999996"/>
    <n v="2024"/>
    <x v="1"/>
    <s v="More than 2 hours"/>
    <x v="2"/>
    <x v="1"/>
    <x v="1"/>
    <m/>
    <n v="1"/>
    <n v="0"/>
  </r>
  <r>
    <s v="Call_7951"/>
    <x v="13"/>
    <n v="116"/>
    <x v="3"/>
    <x v="212"/>
    <n v="44"/>
    <n v="3.8"/>
    <n v="2024"/>
    <x v="1"/>
    <s v="1 to 2 hours"/>
    <x v="2"/>
    <x v="1"/>
    <x v="0"/>
    <m/>
    <n v="1"/>
    <n v="0"/>
  </r>
  <r>
    <s v="Call_7952"/>
    <x v="3"/>
    <n v="111"/>
    <x v="3"/>
    <x v="213"/>
    <n v="120"/>
    <n v="1.8"/>
    <n v="2024"/>
    <x v="3"/>
    <s v="1 to 2 hours"/>
    <x v="3"/>
    <x v="1"/>
    <x v="1"/>
    <m/>
    <n v="1"/>
    <n v="0"/>
  </r>
  <r>
    <s v="Call_7953"/>
    <x v="4"/>
    <n v="15"/>
    <x v="3"/>
    <x v="213"/>
    <n v="120"/>
    <n v="4.0999999999999996"/>
    <n v="2024"/>
    <x v="3"/>
    <s v="10 to 30 mins"/>
    <x v="2"/>
    <x v="0"/>
    <x v="1"/>
    <m/>
    <n v="1"/>
    <n v="0"/>
  </r>
  <r>
    <s v="Call_7954"/>
    <x v="8"/>
    <n v="18"/>
    <x v="1"/>
    <x v="214"/>
    <n v="40"/>
    <n v="4.4000000000000004"/>
    <n v="2024"/>
    <x v="4"/>
    <s v="10 to 30 mins"/>
    <x v="2"/>
    <x v="2"/>
    <x v="0"/>
    <m/>
    <n v="1"/>
    <n v="0"/>
  </r>
  <r>
    <s v="Call_7955"/>
    <x v="5"/>
    <n v="146"/>
    <x v="2"/>
    <x v="214"/>
    <n v="160"/>
    <n v="4.0999999999999996"/>
    <n v="2024"/>
    <x v="4"/>
    <s v="More than 2 hours"/>
    <x v="2"/>
    <x v="2"/>
    <x v="1"/>
    <m/>
    <n v="1"/>
    <n v="0"/>
  </r>
  <r>
    <s v="Call_7956"/>
    <x v="12"/>
    <n v="73"/>
    <x v="3"/>
    <x v="215"/>
    <n v="44"/>
    <n v="3.8"/>
    <n v="2024"/>
    <x v="5"/>
    <s v="1 to 2 hours"/>
    <x v="2"/>
    <x v="0"/>
    <x v="1"/>
    <m/>
    <n v="1"/>
    <n v="0"/>
  </r>
  <r>
    <s v="Call_7957"/>
    <x v="3"/>
    <n v="108"/>
    <x v="1"/>
    <x v="215"/>
    <n v="80"/>
    <n v="4.3"/>
    <n v="2024"/>
    <x v="5"/>
    <s v="1 to 2 hours"/>
    <x v="2"/>
    <x v="1"/>
    <x v="1"/>
    <m/>
    <n v="1"/>
    <n v="0"/>
  </r>
  <r>
    <s v="Call_7958"/>
    <x v="10"/>
    <n v="52"/>
    <x v="1"/>
    <x v="216"/>
    <n v="66"/>
    <n v="4.5"/>
    <n v="2024"/>
    <x v="6"/>
    <s v="30 to 60 mins"/>
    <x v="0"/>
    <x v="1"/>
    <x v="0"/>
    <m/>
    <n v="1"/>
    <n v="1"/>
  </r>
  <r>
    <s v="Call_7959"/>
    <x v="13"/>
    <n v="165"/>
    <x v="4"/>
    <x v="216"/>
    <n v="82"/>
    <n v="3.4"/>
    <n v="2024"/>
    <x v="6"/>
    <s v="More than 2 hours"/>
    <x v="1"/>
    <x v="1"/>
    <x v="0"/>
    <m/>
    <n v="1"/>
    <n v="0"/>
  </r>
  <r>
    <s v="Call_7960"/>
    <x v="5"/>
    <n v="104"/>
    <x v="3"/>
    <x v="216"/>
    <n v="66"/>
    <n v="4.8"/>
    <n v="2024"/>
    <x v="6"/>
    <s v="1 to 2 hours"/>
    <x v="0"/>
    <x v="2"/>
    <x v="1"/>
    <m/>
    <n v="1"/>
    <n v="1"/>
  </r>
  <r>
    <s v="Call_7961"/>
    <x v="12"/>
    <n v="131"/>
    <x v="2"/>
    <x v="216"/>
    <n v="92"/>
    <n v="4.9000000000000004"/>
    <n v="2024"/>
    <x v="6"/>
    <s v="More than 2 hours"/>
    <x v="0"/>
    <x v="0"/>
    <x v="1"/>
    <m/>
    <n v="1"/>
    <n v="1"/>
  </r>
  <r>
    <s v="Call_7962"/>
    <x v="11"/>
    <n v="80"/>
    <x v="4"/>
    <x v="217"/>
    <n v="104"/>
    <n v="4.7"/>
    <n v="2024"/>
    <x v="0"/>
    <s v="1 to 2 hours"/>
    <x v="0"/>
    <x v="2"/>
    <x v="1"/>
    <m/>
    <n v="1"/>
    <n v="1"/>
  </r>
  <r>
    <s v="Call_7963"/>
    <x v="4"/>
    <n v="49"/>
    <x v="3"/>
    <x v="217"/>
    <n v="105"/>
    <n v="3.3"/>
    <n v="2024"/>
    <x v="0"/>
    <s v="30 to 60 mins"/>
    <x v="1"/>
    <x v="0"/>
    <x v="1"/>
    <m/>
    <n v="1"/>
    <n v="0"/>
  </r>
  <r>
    <s v="Call_7964"/>
    <x v="13"/>
    <n v="73"/>
    <x v="3"/>
    <x v="217"/>
    <n v="100"/>
    <n v="2.8"/>
    <n v="2024"/>
    <x v="0"/>
    <s v="1 to 2 hours"/>
    <x v="1"/>
    <x v="1"/>
    <x v="0"/>
    <m/>
    <n v="1"/>
    <n v="0"/>
  </r>
  <r>
    <s v="Call_7965"/>
    <x v="5"/>
    <n v="117"/>
    <x v="4"/>
    <x v="217"/>
    <n v="90"/>
    <n v="4.0999999999999996"/>
    <n v="2024"/>
    <x v="0"/>
    <s v="1 to 2 hours"/>
    <x v="2"/>
    <x v="2"/>
    <x v="1"/>
    <m/>
    <n v="1"/>
    <n v="0"/>
  </r>
  <r>
    <s v="Call_7966"/>
    <x v="2"/>
    <n v="38"/>
    <x v="0"/>
    <x v="217"/>
    <n v="110"/>
    <n v="3.5"/>
    <n v="2024"/>
    <x v="0"/>
    <s v="30 to 60 mins"/>
    <x v="2"/>
    <x v="1"/>
    <x v="0"/>
    <m/>
    <n v="1"/>
    <n v="0"/>
  </r>
  <r>
    <s v="Call_7967"/>
    <x v="10"/>
    <n v="109"/>
    <x v="4"/>
    <x v="218"/>
    <n v="68"/>
    <n v="2.2999999999999998"/>
    <n v="2024"/>
    <x v="2"/>
    <s v="1 to 2 hours"/>
    <x v="3"/>
    <x v="1"/>
    <x v="0"/>
    <m/>
    <n v="1"/>
    <n v="0"/>
  </r>
  <r>
    <s v="Call_7968"/>
    <x v="4"/>
    <n v="70"/>
    <x v="1"/>
    <x v="219"/>
    <n v="210"/>
    <n v="4.0999999999999996"/>
    <n v="2024"/>
    <x v="3"/>
    <s v="1 to 2 hours"/>
    <x v="2"/>
    <x v="0"/>
    <x v="1"/>
    <m/>
    <n v="1"/>
    <n v="0"/>
  </r>
  <r>
    <s v="Call_7969"/>
    <x v="1"/>
    <n v="51"/>
    <x v="0"/>
    <x v="219"/>
    <n v="111"/>
    <n v="4.3"/>
    <n v="2024"/>
    <x v="3"/>
    <s v="30 to 60 mins"/>
    <x v="2"/>
    <x v="0"/>
    <x v="0"/>
    <m/>
    <n v="1"/>
    <n v="0"/>
  </r>
  <r>
    <s v="Call_7970"/>
    <x v="1"/>
    <n v="100"/>
    <x v="1"/>
    <x v="220"/>
    <n v="45"/>
    <n v="4.9000000000000004"/>
    <n v="2024"/>
    <x v="4"/>
    <s v="1 to 2 hours"/>
    <x v="0"/>
    <x v="0"/>
    <x v="0"/>
    <m/>
    <n v="1"/>
    <n v="1"/>
  </r>
  <r>
    <s v="Call_7971"/>
    <x v="7"/>
    <n v="124"/>
    <x v="0"/>
    <x v="221"/>
    <n v="132"/>
    <n v="4"/>
    <n v="2024"/>
    <x v="5"/>
    <s v="More than 2 hours"/>
    <x v="2"/>
    <x v="2"/>
    <x v="1"/>
    <m/>
    <n v="1"/>
    <n v="0"/>
  </r>
  <r>
    <s v="Call_7972"/>
    <x v="0"/>
    <n v="143"/>
    <x v="4"/>
    <x v="221"/>
    <n v="20"/>
    <n v="4.7"/>
    <n v="2024"/>
    <x v="5"/>
    <s v="More than 2 hours"/>
    <x v="0"/>
    <x v="0"/>
    <x v="0"/>
    <m/>
    <n v="1"/>
    <n v="1"/>
  </r>
  <r>
    <s v="Call_7973"/>
    <x v="6"/>
    <n v="96"/>
    <x v="3"/>
    <x v="221"/>
    <n v="36"/>
    <n v="3.4"/>
    <n v="2024"/>
    <x v="5"/>
    <s v="1 to 2 hours"/>
    <x v="1"/>
    <x v="2"/>
    <x v="1"/>
    <m/>
    <n v="1"/>
    <n v="0"/>
  </r>
  <r>
    <s v="Call_7974"/>
    <x v="13"/>
    <n v="84"/>
    <x v="1"/>
    <x v="222"/>
    <n v="72"/>
    <n v="4"/>
    <n v="2024"/>
    <x v="0"/>
    <s v="1 to 2 hours"/>
    <x v="2"/>
    <x v="1"/>
    <x v="0"/>
    <m/>
    <n v="1"/>
    <n v="0"/>
  </r>
  <r>
    <s v="Call_7975"/>
    <x v="9"/>
    <n v="111"/>
    <x v="1"/>
    <x v="222"/>
    <n v="63"/>
    <n v="4.5"/>
    <n v="2024"/>
    <x v="0"/>
    <s v="1 to 2 hours"/>
    <x v="0"/>
    <x v="1"/>
    <x v="1"/>
    <m/>
    <n v="1"/>
    <n v="1"/>
  </r>
  <r>
    <s v="Call_7976"/>
    <x v="9"/>
    <n v="103"/>
    <x v="0"/>
    <x v="223"/>
    <n v="44"/>
    <n v="4.5"/>
    <n v="2024"/>
    <x v="1"/>
    <s v="1 to 2 hours"/>
    <x v="0"/>
    <x v="1"/>
    <x v="1"/>
    <m/>
    <n v="1"/>
    <n v="1"/>
  </r>
  <r>
    <s v="Call_7977"/>
    <x v="0"/>
    <n v="61"/>
    <x v="2"/>
    <x v="223"/>
    <n v="132"/>
    <n v="4.9000000000000004"/>
    <n v="2024"/>
    <x v="1"/>
    <s v="1 to 2 hours"/>
    <x v="0"/>
    <x v="0"/>
    <x v="0"/>
    <m/>
    <n v="1"/>
    <n v="1"/>
  </r>
  <r>
    <s v="Call_7978"/>
    <x v="12"/>
    <n v="113"/>
    <x v="3"/>
    <x v="223"/>
    <n v="46"/>
    <n v="4.4000000000000004"/>
    <n v="2024"/>
    <x v="1"/>
    <s v="1 to 2 hours"/>
    <x v="2"/>
    <x v="0"/>
    <x v="1"/>
    <m/>
    <n v="1"/>
    <n v="0"/>
  </r>
  <r>
    <s v="Call_7979"/>
    <x v="12"/>
    <n v="96"/>
    <x v="3"/>
    <x v="223"/>
    <n v="96"/>
    <n v="2.9"/>
    <n v="2024"/>
    <x v="1"/>
    <s v="1 to 2 hours"/>
    <x v="1"/>
    <x v="0"/>
    <x v="1"/>
    <m/>
    <n v="1"/>
    <n v="0"/>
  </r>
  <r>
    <s v="Call_7980"/>
    <x v="8"/>
    <n v="131"/>
    <x v="0"/>
    <x v="224"/>
    <n v="75"/>
    <n v="4.4000000000000004"/>
    <n v="2024"/>
    <x v="2"/>
    <s v="More than 2 hours"/>
    <x v="2"/>
    <x v="2"/>
    <x v="0"/>
    <m/>
    <n v="1"/>
    <n v="0"/>
  </r>
  <r>
    <s v="Call_7981"/>
    <x v="5"/>
    <n v="52"/>
    <x v="3"/>
    <x v="225"/>
    <n v="88"/>
    <n v="4.3"/>
    <n v="2024"/>
    <x v="3"/>
    <s v="30 to 60 mins"/>
    <x v="2"/>
    <x v="2"/>
    <x v="1"/>
    <m/>
    <n v="1"/>
    <n v="0"/>
  </r>
  <r>
    <s v="Call_7982"/>
    <x v="1"/>
    <n v="100"/>
    <x v="0"/>
    <x v="225"/>
    <n v="24"/>
    <n v="4.7"/>
    <n v="2024"/>
    <x v="3"/>
    <s v="1 to 2 hours"/>
    <x v="0"/>
    <x v="0"/>
    <x v="0"/>
    <m/>
    <n v="1"/>
    <n v="1"/>
  </r>
  <r>
    <s v="Call_7983"/>
    <x v="3"/>
    <n v="58"/>
    <x v="4"/>
    <x v="225"/>
    <n v="96"/>
    <n v="3.2"/>
    <n v="2024"/>
    <x v="3"/>
    <s v="30 to 60 mins"/>
    <x v="1"/>
    <x v="1"/>
    <x v="1"/>
    <m/>
    <n v="1"/>
    <n v="0"/>
  </r>
  <r>
    <s v="Call_7984"/>
    <x v="4"/>
    <n v="144"/>
    <x v="4"/>
    <x v="226"/>
    <n v="124"/>
    <n v="2.2999999999999998"/>
    <n v="2024"/>
    <x v="4"/>
    <s v="More than 2 hours"/>
    <x v="3"/>
    <x v="0"/>
    <x v="1"/>
    <m/>
    <n v="1"/>
    <n v="0"/>
  </r>
  <r>
    <s v="Call_7985"/>
    <x v="3"/>
    <n v="53"/>
    <x v="2"/>
    <x v="227"/>
    <n v="130"/>
    <n v="3.6"/>
    <n v="2024"/>
    <x v="5"/>
    <s v="30 to 60 mins"/>
    <x v="2"/>
    <x v="1"/>
    <x v="1"/>
    <m/>
    <n v="1"/>
    <n v="0"/>
  </r>
  <r>
    <s v="Call_7986"/>
    <x v="12"/>
    <n v="97"/>
    <x v="1"/>
    <x v="227"/>
    <n v="45"/>
    <n v="4.5999999999999996"/>
    <n v="2024"/>
    <x v="5"/>
    <s v="1 to 2 hours"/>
    <x v="0"/>
    <x v="0"/>
    <x v="1"/>
    <m/>
    <n v="1"/>
    <n v="1"/>
  </r>
  <r>
    <s v="Call_7987"/>
    <x v="2"/>
    <n v="64"/>
    <x v="4"/>
    <x v="227"/>
    <n v="66"/>
    <n v="4"/>
    <n v="2024"/>
    <x v="5"/>
    <s v="1 to 2 hours"/>
    <x v="2"/>
    <x v="1"/>
    <x v="0"/>
    <m/>
    <n v="1"/>
    <n v="0"/>
  </r>
  <r>
    <s v="Call_7988"/>
    <x v="0"/>
    <n v="106"/>
    <x v="0"/>
    <x v="227"/>
    <n v="58"/>
    <n v="4.7"/>
    <n v="2024"/>
    <x v="5"/>
    <s v="1 to 2 hours"/>
    <x v="0"/>
    <x v="0"/>
    <x v="0"/>
    <m/>
    <n v="1"/>
    <n v="1"/>
  </r>
  <r>
    <s v="Call_7989"/>
    <x v="13"/>
    <n v="36"/>
    <x v="4"/>
    <x v="228"/>
    <n v="152"/>
    <n v="4.3"/>
    <n v="2024"/>
    <x v="6"/>
    <s v="30 to 60 mins"/>
    <x v="2"/>
    <x v="1"/>
    <x v="0"/>
    <m/>
    <n v="1"/>
    <n v="0"/>
  </r>
  <r>
    <s v="Call_7990"/>
    <x v="4"/>
    <n v="74"/>
    <x v="3"/>
    <x v="228"/>
    <n v="75"/>
    <n v="2.8"/>
    <n v="2024"/>
    <x v="6"/>
    <s v="1 to 2 hours"/>
    <x v="1"/>
    <x v="0"/>
    <x v="1"/>
    <m/>
    <n v="1"/>
    <n v="0"/>
  </r>
  <r>
    <s v="Call_7991"/>
    <x v="10"/>
    <n v="143"/>
    <x v="1"/>
    <x v="228"/>
    <n v="78"/>
    <n v="4"/>
    <n v="2024"/>
    <x v="6"/>
    <s v="More than 2 hours"/>
    <x v="2"/>
    <x v="1"/>
    <x v="0"/>
    <m/>
    <n v="1"/>
    <n v="0"/>
  </r>
  <r>
    <s v="Call_7992"/>
    <x v="0"/>
    <n v="94"/>
    <x v="2"/>
    <x v="228"/>
    <n v="69"/>
    <n v="3.9"/>
    <n v="2024"/>
    <x v="6"/>
    <s v="1 to 2 hours"/>
    <x v="2"/>
    <x v="0"/>
    <x v="0"/>
    <m/>
    <n v="1"/>
    <n v="0"/>
  </r>
  <r>
    <s v="Call_7993"/>
    <x v="11"/>
    <n v="124"/>
    <x v="0"/>
    <x v="229"/>
    <n v="46"/>
    <n v="3.1"/>
    <n v="2024"/>
    <x v="0"/>
    <s v="More than 2 hours"/>
    <x v="1"/>
    <x v="2"/>
    <x v="1"/>
    <m/>
    <n v="1"/>
    <n v="0"/>
  </r>
  <r>
    <s v="Call_7994"/>
    <x v="13"/>
    <n v="156"/>
    <x v="4"/>
    <x v="229"/>
    <n v="64"/>
    <n v="2.7"/>
    <n v="2024"/>
    <x v="0"/>
    <s v="More than 2 hours"/>
    <x v="1"/>
    <x v="1"/>
    <x v="0"/>
    <m/>
    <n v="1"/>
    <n v="0"/>
  </r>
  <r>
    <s v="Call_7995"/>
    <x v="6"/>
    <n v="107"/>
    <x v="1"/>
    <x v="229"/>
    <n v="38"/>
    <n v="4.7"/>
    <n v="2024"/>
    <x v="0"/>
    <s v="1 to 2 hours"/>
    <x v="0"/>
    <x v="2"/>
    <x v="1"/>
    <m/>
    <n v="1"/>
    <n v="1"/>
  </r>
  <r>
    <s v="Call_7996"/>
    <x v="0"/>
    <n v="58"/>
    <x v="1"/>
    <x v="230"/>
    <n v="90"/>
    <n v="4.3"/>
    <n v="2024"/>
    <x v="2"/>
    <s v="30 to 60 mins"/>
    <x v="2"/>
    <x v="0"/>
    <x v="0"/>
    <m/>
    <n v="1"/>
    <n v="0"/>
  </r>
  <r>
    <s v="Call_7997"/>
    <x v="7"/>
    <n v="66"/>
    <x v="1"/>
    <x v="230"/>
    <n v="32"/>
    <n v="3.8"/>
    <n v="2024"/>
    <x v="2"/>
    <s v="1 to 2 hours"/>
    <x v="2"/>
    <x v="2"/>
    <x v="1"/>
    <m/>
    <n v="1"/>
    <n v="0"/>
  </r>
  <r>
    <s v="Call_7998"/>
    <x v="8"/>
    <n v="75"/>
    <x v="4"/>
    <x v="230"/>
    <n v="120"/>
    <n v="4.4000000000000004"/>
    <n v="2024"/>
    <x v="2"/>
    <s v="1 to 2 hours"/>
    <x v="2"/>
    <x v="2"/>
    <x v="0"/>
    <m/>
    <n v="1"/>
    <n v="0"/>
  </r>
  <r>
    <s v="Call_7999"/>
    <x v="6"/>
    <n v="8"/>
    <x v="1"/>
    <x v="230"/>
    <n v="31"/>
    <n v="3.9"/>
    <n v="2024"/>
    <x v="2"/>
    <s v="Under 10 mins"/>
    <x v="2"/>
    <x v="2"/>
    <x v="1"/>
    <m/>
    <n v="1"/>
    <n v="0"/>
  </r>
  <r>
    <s v="Call_8000"/>
    <x v="2"/>
    <n v="76"/>
    <x v="4"/>
    <x v="231"/>
    <n v="108"/>
    <n v="4.9000000000000004"/>
    <n v="2024"/>
    <x v="3"/>
    <s v="1 to 2 hours"/>
    <x v="0"/>
    <x v="1"/>
    <x v="0"/>
    <m/>
    <n v="1"/>
    <n v="1"/>
  </r>
  <r>
    <s v="Call_8001"/>
    <x v="0"/>
    <n v="110"/>
    <x v="4"/>
    <x v="231"/>
    <n v="180"/>
    <n v="4.2"/>
    <n v="2024"/>
    <x v="3"/>
    <s v="1 to 2 hours"/>
    <x v="2"/>
    <x v="0"/>
    <x v="0"/>
    <m/>
    <n v="1"/>
    <n v="0"/>
  </r>
  <r>
    <s v="Call_8002"/>
    <x v="7"/>
    <n v="50"/>
    <x v="2"/>
    <x v="232"/>
    <n v="124"/>
    <n v="4"/>
    <n v="2024"/>
    <x v="4"/>
    <s v="30 to 60 mins"/>
    <x v="2"/>
    <x v="2"/>
    <x v="1"/>
    <m/>
    <n v="1"/>
    <n v="0"/>
  </r>
  <r>
    <s v="Call_8003"/>
    <x v="5"/>
    <n v="78"/>
    <x v="2"/>
    <x v="232"/>
    <n v="23"/>
    <n v="4.2"/>
    <n v="2024"/>
    <x v="4"/>
    <s v="1 to 2 hours"/>
    <x v="2"/>
    <x v="2"/>
    <x v="1"/>
    <m/>
    <n v="1"/>
    <n v="0"/>
  </r>
  <r>
    <s v="Call_8004"/>
    <x v="12"/>
    <n v="59"/>
    <x v="0"/>
    <x v="233"/>
    <n v="24"/>
    <n v="4.8"/>
    <n v="2024"/>
    <x v="5"/>
    <s v="30 to 60 mins"/>
    <x v="0"/>
    <x v="0"/>
    <x v="1"/>
    <m/>
    <n v="1"/>
    <n v="1"/>
  </r>
  <r>
    <s v="Call_8005"/>
    <x v="5"/>
    <n v="126"/>
    <x v="1"/>
    <x v="234"/>
    <n v="52"/>
    <n v="1.1000000000000001"/>
    <n v="2024"/>
    <x v="6"/>
    <s v="More than 2 hours"/>
    <x v="5"/>
    <x v="2"/>
    <x v="1"/>
    <m/>
    <n v="1"/>
    <n v="0"/>
  </r>
  <r>
    <s v="Call_8006"/>
    <x v="2"/>
    <n v="43"/>
    <x v="0"/>
    <x v="235"/>
    <n v="168"/>
    <n v="4"/>
    <n v="2024"/>
    <x v="0"/>
    <s v="30 to 60 mins"/>
    <x v="2"/>
    <x v="1"/>
    <x v="0"/>
    <m/>
    <n v="1"/>
    <n v="0"/>
  </r>
  <r>
    <s v="Call_8007"/>
    <x v="13"/>
    <n v="79"/>
    <x v="4"/>
    <x v="236"/>
    <n v="125"/>
    <n v="4.8"/>
    <n v="2024"/>
    <x v="2"/>
    <s v="1 to 2 hours"/>
    <x v="0"/>
    <x v="1"/>
    <x v="0"/>
    <m/>
    <n v="1"/>
    <n v="1"/>
  </r>
  <r>
    <s v="Call_8008"/>
    <x v="0"/>
    <n v="71"/>
    <x v="0"/>
    <x v="237"/>
    <n v="50"/>
    <n v="4.2"/>
    <n v="2024"/>
    <x v="3"/>
    <s v="1 to 2 hours"/>
    <x v="2"/>
    <x v="0"/>
    <x v="0"/>
    <m/>
    <n v="1"/>
    <n v="0"/>
  </r>
  <r>
    <s v="Call_8009"/>
    <x v="9"/>
    <n v="94"/>
    <x v="1"/>
    <x v="238"/>
    <n v="220"/>
    <n v="4.5999999999999996"/>
    <n v="2024"/>
    <x v="4"/>
    <s v="1 to 2 hours"/>
    <x v="0"/>
    <x v="1"/>
    <x v="1"/>
    <m/>
    <n v="1"/>
    <n v="1"/>
  </r>
  <r>
    <s v="Call_8010"/>
    <x v="6"/>
    <n v="108"/>
    <x v="0"/>
    <x v="238"/>
    <n v="180"/>
    <n v="4"/>
    <n v="2024"/>
    <x v="4"/>
    <s v="1 to 2 hours"/>
    <x v="2"/>
    <x v="2"/>
    <x v="1"/>
    <m/>
    <n v="1"/>
    <n v="0"/>
  </r>
  <r>
    <s v="Call_8011"/>
    <x v="2"/>
    <n v="76"/>
    <x v="1"/>
    <x v="238"/>
    <n v="110"/>
    <n v="3.9"/>
    <n v="2024"/>
    <x v="4"/>
    <s v="1 to 2 hours"/>
    <x v="2"/>
    <x v="1"/>
    <x v="0"/>
    <m/>
    <n v="1"/>
    <n v="0"/>
  </r>
  <r>
    <s v="Call_8012"/>
    <x v="12"/>
    <n v="136"/>
    <x v="0"/>
    <x v="238"/>
    <n v="36"/>
    <n v="2.8"/>
    <n v="2024"/>
    <x v="4"/>
    <s v="More than 2 hours"/>
    <x v="1"/>
    <x v="0"/>
    <x v="1"/>
    <m/>
    <n v="1"/>
    <n v="0"/>
  </r>
  <r>
    <s v="Call_8013"/>
    <x v="1"/>
    <n v="129"/>
    <x v="2"/>
    <x v="239"/>
    <n v="93"/>
    <n v="4.7"/>
    <n v="2024"/>
    <x v="5"/>
    <s v="More than 2 hours"/>
    <x v="0"/>
    <x v="0"/>
    <x v="0"/>
    <m/>
    <n v="1"/>
    <n v="1"/>
  </r>
  <r>
    <s v="Call_8014"/>
    <x v="6"/>
    <n v="120"/>
    <x v="0"/>
    <x v="239"/>
    <n v="38"/>
    <n v="4.2"/>
    <n v="2024"/>
    <x v="5"/>
    <s v="1 to 2 hours"/>
    <x v="2"/>
    <x v="2"/>
    <x v="1"/>
    <m/>
    <n v="1"/>
    <n v="0"/>
  </r>
  <r>
    <s v="Call_8015"/>
    <x v="2"/>
    <n v="108"/>
    <x v="2"/>
    <x v="240"/>
    <n v="66"/>
    <n v="3.9"/>
    <n v="2024"/>
    <x v="6"/>
    <s v="1 to 2 hours"/>
    <x v="2"/>
    <x v="1"/>
    <x v="0"/>
    <m/>
    <n v="1"/>
    <n v="0"/>
  </r>
  <r>
    <s v="Call_8016"/>
    <x v="5"/>
    <n v="79"/>
    <x v="0"/>
    <x v="240"/>
    <n v="215"/>
    <n v="4.5999999999999996"/>
    <n v="2024"/>
    <x v="6"/>
    <s v="1 to 2 hours"/>
    <x v="0"/>
    <x v="2"/>
    <x v="1"/>
    <m/>
    <n v="1"/>
    <n v="1"/>
  </r>
  <r>
    <s v="Call_8017"/>
    <x v="5"/>
    <n v="45"/>
    <x v="2"/>
    <x v="240"/>
    <n v="92"/>
    <n v="4.3"/>
    <n v="2024"/>
    <x v="6"/>
    <s v="30 to 60 mins"/>
    <x v="2"/>
    <x v="2"/>
    <x v="1"/>
    <m/>
    <n v="1"/>
    <n v="0"/>
  </r>
  <r>
    <s v="Call_8018"/>
    <x v="4"/>
    <n v="96"/>
    <x v="0"/>
    <x v="240"/>
    <n v="80"/>
    <n v="3.6"/>
    <n v="2024"/>
    <x v="6"/>
    <s v="1 to 2 hours"/>
    <x v="2"/>
    <x v="0"/>
    <x v="1"/>
    <m/>
    <n v="1"/>
    <n v="0"/>
  </r>
  <r>
    <s v="Call_8019"/>
    <x v="4"/>
    <n v="81"/>
    <x v="0"/>
    <x v="241"/>
    <n v="123"/>
    <n v="4.9000000000000004"/>
    <n v="2024"/>
    <x v="0"/>
    <s v="1 to 2 hours"/>
    <x v="0"/>
    <x v="0"/>
    <x v="1"/>
    <m/>
    <n v="1"/>
    <n v="1"/>
  </r>
  <r>
    <s v="Call_8020"/>
    <x v="12"/>
    <n v="95"/>
    <x v="3"/>
    <x v="241"/>
    <n v="23"/>
    <n v="2.4"/>
    <n v="2024"/>
    <x v="0"/>
    <s v="1 to 2 hours"/>
    <x v="3"/>
    <x v="0"/>
    <x v="1"/>
    <m/>
    <n v="1"/>
    <n v="0"/>
  </r>
  <r>
    <s v="Call_8021"/>
    <x v="11"/>
    <n v="159"/>
    <x v="1"/>
    <x v="241"/>
    <n v="63"/>
    <n v="4.2"/>
    <n v="2024"/>
    <x v="0"/>
    <s v="More than 2 hours"/>
    <x v="2"/>
    <x v="2"/>
    <x v="1"/>
    <m/>
    <n v="1"/>
    <n v="0"/>
  </r>
  <r>
    <s v="Call_8022"/>
    <x v="14"/>
    <n v="109"/>
    <x v="4"/>
    <x v="241"/>
    <n v="52"/>
    <n v="3.9"/>
    <n v="2024"/>
    <x v="0"/>
    <s v="1 to 2 hours"/>
    <x v="2"/>
    <x v="2"/>
    <x v="1"/>
    <m/>
    <n v="1"/>
    <n v="0"/>
  </r>
  <r>
    <s v="Call_8023"/>
    <x v="5"/>
    <n v="107"/>
    <x v="4"/>
    <x v="241"/>
    <n v="60"/>
    <n v="4.2"/>
    <n v="2024"/>
    <x v="0"/>
    <s v="1 to 2 hours"/>
    <x v="2"/>
    <x v="2"/>
    <x v="1"/>
    <m/>
    <n v="1"/>
    <n v="0"/>
  </r>
  <r>
    <s v="Call_8024"/>
    <x v="4"/>
    <n v="67"/>
    <x v="2"/>
    <x v="242"/>
    <n v="87"/>
    <n v="3.9"/>
    <n v="2024"/>
    <x v="1"/>
    <s v="1 to 2 hours"/>
    <x v="2"/>
    <x v="0"/>
    <x v="1"/>
    <m/>
    <n v="1"/>
    <n v="0"/>
  </r>
  <r>
    <s v="Call_8025"/>
    <x v="8"/>
    <n v="96"/>
    <x v="0"/>
    <x v="243"/>
    <n v="42"/>
    <n v="4.5"/>
    <n v="2024"/>
    <x v="2"/>
    <s v="1 to 2 hours"/>
    <x v="0"/>
    <x v="2"/>
    <x v="0"/>
    <m/>
    <n v="1"/>
    <n v="1"/>
  </r>
  <r>
    <s v="Call_8026"/>
    <x v="10"/>
    <n v="142"/>
    <x v="1"/>
    <x v="244"/>
    <n v="37"/>
    <n v="3.8"/>
    <n v="2024"/>
    <x v="3"/>
    <s v="More than 2 hours"/>
    <x v="2"/>
    <x v="1"/>
    <x v="0"/>
    <m/>
    <n v="1"/>
    <n v="0"/>
  </r>
  <r>
    <s v="Call_8027"/>
    <x v="10"/>
    <n v="71"/>
    <x v="3"/>
    <x v="244"/>
    <n v="135"/>
    <n v="3.9"/>
    <n v="2024"/>
    <x v="3"/>
    <s v="1 to 2 hours"/>
    <x v="2"/>
    <x v="1"/>
    <x v="0"/>
    <m/>
    <n v="1"/>
    <n v="0"/>
  </r>
  <r>
    <s v="Call_8028"/>
    <x v="8"/>
    <n v="152"/>
    <x v="3"/>
    <x v="244"/>
    <n v="88"/>
    <n v="4.7"/>
    <n v="2024"/>
    <x v="3"/>
    <s v="More than 2 hours"/>
    <x v="0"/>
    <x v="2"/>
    <x v="0"/>
    <m/>
    <n v="1"/>
    <n v="1"/>
  </r>
  <r>
    <s v="Call_8029"/>
    <x v="13"/>
    <n v="108"/>
    <x v="1"/>
    <x v="244"/>
    <n v="190"/>
    <n v="3.2"/>
    <n v="2024"/>
    <x v="3"/>
    <s v="1 to 2 hours"/>
    <x v="1"/>
    <x v="1"/>
    <x v="0"/>
    <m/>
    <n v="1"/>
    <n v="0"/>
  </r>
  <r>
    <s v="Call_8030"/>
    <x v="13"/>
    <n v="156"/>
    <x v="3"/>
    <x v="244"/>
    <n v="81"/>
    <n v="5"/>
    <n v="2024"/>
    <x v="3"/>
    <s v="More than 2 hours"/>
    <x v="0"/>
    <x v="1"/>
    <x v="0"/>
    <m/>
    <n v="1"/>
    <n v="1"/>
  </r>
  <r>
    <s v="Call_8031"/>
    <x v="10"/>
    <n v="126"/>
    <x v="1"/>
    <x v="244"/>
    <n v="44"/>
    <n v="3.7"/>
    <n v="2024"/>
    <x v="3"/>
    <s v="More than 2 hours"/>
    <x v="2"/>
    <x v="1"/>
    <x v="0"/>
    <m/>
    <n v="1"/>
    <n v="0"/>
  </r>
  <r>
    <s v="Call_8032"/>
    <x v="2"/>
    <n v="135"/>
    <x v="3"/>
    <x v="245"/>
    <n v="92"/>
    <n v="3.9"/>
    <n v="2024"/>
    <x v="4"/>
    <s v="More than 2 hours"/>
    <x v="2"/>
    <x v="1"/>
    <x v="0"/>
    <m/>
    <n v="1"/>
    <n v="0"/>
  </r>
  <r>
    <s v="Call_8033"/>
    <x v="10"/>
    <n v="110"/>
    <x v="0"/>
    <x v="246"/>
    <n v="90"/>
    <n v="3.1"/>
    <n v="2024"/>
    <x v="5"/>
    <s v="1 to 2 hours"/>
    <x v="1"/>
    <x v="1"/>
    <x v="0"/>
    <m/>
    <n v="1"/>
    <n v="0"/>
  </r>
  <r>
    <s v="Call_8034"/>
    <x v="11"/>
    <n v="64"/>
    <x v="3"/>
    <x v="246"/>
    <n v="112"/>
    <n v="2"/>
    <n v="2024"/>
    <x v="5"/>
    <s v="1 to 2 hours"/>
    <x v="3"/>
    <x v="2"/>
    <x v="1"/>
    <m/>
    <n v="1"/>
    <n v="0"/>
  </r>
  <r>
    <s v="Call_8035"/>
    <x v="9"/>
    <n v="127"/>
    <x v="1"/>
    <x v="246"/>
    <n v="112"/>
    <n v="4.5999999999999996"/>
    <n v="2024"/>
    <x v="5"/>
    <s v="More than 2 hours"/>
    <x v="0"/>
    <x v="1"/>
    <x v="1"/>
    <m/>
    <n v="1"/>
    <n v="1"/>
  </r>
  <r>
    <s v="Call_8036"/>
    <x v="14"/>
    <n v="124"/>
    <x v="2"/>
    <x v="246"/>
    <n v="48"/>
    <n v="3.7"/>
    <n v="2024"/>
    <x v="5"/>
    <s v="More than 2 hours"/>
    <x v="2"/>
    <x v="2"/>
    <x v="1"/>
    <m/>
    <n v="1"/>
    <n v="0"/>
  </r>
  <r>
    <s v="Call_8037"/>
    <x v="11"/>
    <n v="125"/>
    <x v="1"/>
    <x v="246"/>
    <n v="116"/>
    <n v="4.4000000000000004"/>
    <n v="2024"/>
    <x v="5"/>
    <s v="More than 2 hours"/>
    <x v="2"/>
    <x v="2"/>
    <x v="1"/>
    <m/>
    <n v="1"/>
    <n v="0"/>
  </r>
  <r>
    <s v="Call_8038"/>
    <x v="1"/>
    <n v="70"/>
    <x v="1"/>
    <x v="246"/>
    <n v="29"/>
    <n v="2.1"/>
    <n v="2024"/>
    <x v="5"/>
    <s v="1 to 2 hours"/>
    <x v="3"/>
    <x v="0"/>
    <x v="0"/>
    <m/>
    <n v="1"/>
    <n v="0"/>
  </r>
  <r>
    <s v="Call_8039"/>
    <x v="9"/>
    <n v="93"/>
    <x v="3"/>
    <x v="247"/>
    <n v="170"/>
    <n v="2.2000000000000002"/>
    <n v="2024"/>
    <x v="6"/>
    <s v="1 to 2 hours"/>
    <x v="3"/>
    <x v="1"/>
    <x v="1"/>
    <m/>
    <n v="1"/>
    <n v="0"/>
  </r>
  <r>
    <s v="Call_8040"/>
    <x v="1"/>
    <n v="120"/>
    <x v="4"/>
    <x v="247"/>
    <n v="68"/>
    <n v="3.4"/>
    <n v="2024"/>
    <x v="6"/>
    <s v="1 to 2 hours"/>
    <x v="1"/>
    <x v="0"/>
    <x v="0"/>
    <m/>
    <n v="1"/>
    <n v="0"/>
  </r>
  <r>
    <s v="Call_8041"/>
    <x v="4"/>
    <n v="96"/>
    <x v="0"/>
    <x v="247"/>
    <n v="195"/>
    <n v="2.7"/>
    <n v="2024"/>
    <x v="6"/>
    <s v="1 to 2 hours"/>
    <x v="1"/>
    <x v="0"/>
    <x v="1"/>
    <m/>
    <n v="1"/>
    <n v="0"/>
  </r>
  <r>
    <s v="Call_8042"/>
    <x v="3"/>
    <n v="67"/>
    <x v="0"/>
    <x v="247"/>
    <n v="96"/>
    <n v="3.7"/>
    <n v="2024"/>
    <x v="6"/>
    <s v="1 to 2 hours"/>
    <x v="2"/>
    <x v="1"/>
    <x v="1"/>
    <m/>
    <n v="1"/>
    <n v="0"/>
  </r>
  <r>
    <s v="Call_8043"/>
    <x v="11"/>
    <n v="119"/>
    <x v="0"/>
    <x v="247"/>
    <n v="96"/>
    <n v="3.1"/>
    <n v="2024"/>
    <x v="6"/>
    <s v="1 to 2 hours"/>
    <x v="1"/>
    <x v="2"/>
    <x v="1"/>
    <m/>
    <n v="1"/>
    <n v="0"/>
  </r>
  <r>
    <s v="Call_8044"/>
    <x v="14"/>
    <n v="61"/>
    <x v="2"/>
    <x v="247"/>
    <n v="117"/>
    <n v="4.0999999999999996"/>
    <n v="2024"/>
    <x v="6"/>
    <s v="1 to 2 hours"/>
    <x v="2"/>
    <x v="2"/>
    <x v="1"/>
    <m/>
    <n v="1"/>
    <n v="0"/>
  </r>
  <r>
    <s v="Call_8045"/>
    <x v="4"/>
    <n v="29"/>
    <x v="3"/>
    <x v="247"/>
    <n v="80"/>
    <n v="4.8"/>
    <n v="2024"/>
    <x v="6"/>
    <s v="10 to 30 mins"/>
    <x v="0"/>
    <x v="0"/>
    <x v="1"/>
    <m/>
    <n v="1"/>
    <n v="1"/>
  </r>
  <r>
    <s v="Call_8046"/>
    <x v="8"/>
    <n v="134"/>
    <x v="4"/>
    <x v="247"/>
    <n v="117"/>
    <n v="4"/>
    <n v="2024"/>
    <x v="6"/>
    <s v="More than 2 hours"/>
    <x v="2"/>
    <x v="2"/>
    <x v="0"/>
    <m/>
    <n v="1"/>
    <n v="0"/>
  </r>
  <r>
    <s v="Call_8047"/>
    <x v="10"/>
    <n v="113"/>
    <x v="0"/>
    <x v="248"/>
    <n v="40"/>
    <n v="3"/>
    <n v="2024"/>
    <x v="0"/>
    <s v="1 to 2 hours"/>
    <x v="1"/>
    <x v="1"/>
    <x v="0"/>
    <m/>
    <n v="1"/>
    <n v="0"/>
  </r>
  <r>
    <s v="Call_8048"/>
    <x v="13"/>
    <n v="12"/>
    <x v="4"/>
    <x v="248"/>
    <n v="117"/>
    <n v="4.8"/>
    <n v="2024"/>
    <x v="0"/>
    <s v="10 to 30 mins"/>
    <x v="0"/>
    <x v="1"/>
    <x v="0"/>
    <m/>
    <n v="1"/>
    <n v="1"/>
  </r>
  <r>
    <s v="Call_8049"/>
    <x v="7"/>
    <n v="78"/>
    <x v="3"/>
    <x v="248"/>
    <n v="135"/>
    <n v="4.0999999999999996"/>
    <n v="2024"/>
    <x v="0"/>
    <s v="1 to 2 hours"/>
    <x v="2"/>
    <x v="2"/>
    <x v="1"/>
    <m/>
    <n v="1"/>
    <n v="0"/>
  </r>
  <r>
    <s v="Call_8050"/>
    <x v="11"/>
    <n v="82"/>
    <x v="1"/>
    <x v="248"/>
    <n v="99"/>
    <n v="4.2"/>
    <n v="2024"/>
    <x v="0"/>
    <s v="1 to 2 hours"/>
    <x v="2"/>
    <x v="2"/>
    <x v="1"/>
    <m/>
    <n v="1"/>
    <n v="0"/>
  </r>
  <r>
    <s v="Call_8051"/>
    <x v="6"/>
    <n v="149"/>
    <x v="2"/>
    <x v="248"/>
    <n v="130"/>
    <n v="3.3"/>
    <n v="2024"/>
    <x v="0"/>
    <s v="More than 2 hours"/>
    <x v="1"/>
    <x v="2"/>
    <x v="1"/>
    <m/>
    <n v="1"/>
    <n v="0"/>
  </r>
  <r>
    <s v="Call_8052"/>
    <x v="5"/>
    <n v="56"/>
    <x v="4"/>
    <x v="248"/>
    <n v="96"/>
    <n v="4.7"/>
    <n v="2024"/>
    <x v="0"/>
    <s v="30 to 60 mins"/>
    <x v="0"/>
    <x v="2"/>
    <x v="1"/>
    <m/>
    <n v="1"/>
    <n v="1"/>
  </r>
  <r>
    <s v="Call_8053"/>
    <x v="4"/>
    <n v="80"/>
    <x v="2"/>
    <x v="248"/>
    <n v="128"/>
    <n v="3.7"/>
    <n v="2024"/>
    <x v="0"/>
    <s v="1 to 2 hours"/>
    <x v="2"/>
    <x v="0"/>
    <x v="1"/>
    <m/>
    <n v="1"/>
    <n v="0"/>
  </r>
  <r>
    <s v="Call_8054"/>
    <x v="14"/>
    <n v="131"/>
    <x v="0"/>
    <x v="248"/>
    <n v="69"/>
    <n v="4.7"/>
    <n v="2024"/>
    <x v="0"/>
    <s v="More than 2 hours"/>
    <x v="0"/>
    <x v="2"/>
    <x v="1"/>
    <m/>
    <n v="1"/>
    <n v="1"/>
  </r>
  <r>
    <s v="Call_8055"/>
    <x v="14"/>
    <n v="109"/>
    <x v="0"/>
    <x v="248"/>
    <n v="44"/>
    <n v="4.5999999999999996"/>
    <n v="2024"/>
    <x v="0"/>
    <s v="1 to 2 hours"/>
    <x v="0"/>
    <x v="2"/>
    <x v="1"/>
    <m/>
    <n v="1"/>
    <n v="1"/>
  </r>
  <r>
    <s v="Call_8056"/>
    <x v="5"/>
    <n v="142"/>
    <x v="0"/>
    <x v="248"/>
    <n v="44"/>
    <n v="4.8"/>
    <n v="2024"/>
    <x v="0"/>
    <s v="More than 2 hours"/>
    <x v="0"/>
    <x v="2"/>
    <x v="1"/>
    <m/>
    <n v="1"/>
    <n v="1"/>
  </r>
  <r>
    <s v="Call_8057"/>
    <x v="9"/>
    <n v="114"/>
    <x v="4"/>
    <x v="249"/>
    <n v="135"/>
    <n v="2"/>
    <n v="2024"/>
    <x v="1"/>
    <s v="1 to 2 hours"/>
    <x v="3"/>
    <x v="1"/>
    <x v="1"/>
    <m/>
    <n v="1"/>
    <n v="0"/>
  </r>
  <r>
    <s v="Call_8058"/>
    <x v="3"/>
    <n v="93"/>
    <x v="2"/>
    <x v="249"/>
    <n v="45"/>
    <n v="3.9"/>
    <n v="2024"/>
    <x v="1"/>
    <s v="1 to 2 hours"/>
    <x v="2"/>
    <x v="1"/>
    <x v="1"/>
    <m/>
    <n v="1"/>
    <n v="0"/>
  </r>
  <r>
    <s v="Call_8059"/>
    <x v="13"/>
    <n v="43"/>
    <x v="2"/>
    <x v="249"/>
    <n v="87"/>
    <n v="3"/>
    <n v="2024"/>
    <x v="1"/>
    <s v="30 to 60 mins"/>
    <x v="1"/>
    <x v="1"/>
    <x v="0"/>
    <m/>
    <n v="1"/>
    <n v="0"/>
  </r>
  <r>
    <s v="Call_8060"/>
    <x v="8"/>
    <n v="78"/>
    <x v="3"/>
    <x v="250"/>
    <n v="84"/>
    <n v="4.5999999999999996"/>
    <n v="2024"/>
    <x v="2"/>
    <s v="1 to 2 hours"/>
    <x v="0"/>
    <x v="2"/>
    <x v="0"/>
    <m/>
    <n v="1"/>
    <n v="1"/>
  </r>
  <r>
    <s v="Call_8061"/>
    <x v="9"/>
    <n v="89"/>
    <x v="0"/>
    <x v="250"/>
    <n v="81"/>
    <n v="3.8"/>
    <n v="2024"/>
    <x v="2"/>
    <s v="1 to 2 hours"/>
    <x v="2"/>
    <x v="1"/>
    <x v="1"/>
    <m/>
    <n v="1"/>
    <n v="0"/>
  </r>
  <r>
    <s v="Call_8062"/>
    <x v="5"/>
    <n v="82"/>
    <x v="1"/>
    <x v="250"/>
    <n v="130"/>
    <n v="4.4000000000000004"/>
    <n v="2024"/>
    <x v="2"/>
    <s v="1 to 2 hours"/>
    <x v="2"/>
    <x v="2"/>
    <x v="1"/>
    <m/>
    <n v="1"/>
    <n v="0"/>
  </r>
  <r>
    <s v="Call_8063"/>
    <x v="4"/>
    <n v="86"/>
    <x v="0"/>
    <x v="251"/>
    <n v="92"/>
    <n v="2.4"/>
    <n v="2024"/>
    <x v="3"/>
    <s v="1 to 2 hours"/>
    <x v="3"/>
    <x v="0"/>
    <x v="1"/>
    <m/>
    <n v="1"/>
    <n v="0"/>
  </r>
  <r>
    <s v="Call_8064"/>
    <x v="12"/>
    <n v="57"/>
    <x v="3"/>
    <x v="251"/>
    <n v="48"/>
    <n v="4.5"/>
    <n v="2024"/>
    <x v="3"/>
    <s v="30 to 60 mins"/>
    <x v="0"/>
    <x v="0"/>
    <x v="1"/>
    <m/>
    <n v="1"/>
    <n v="1"/>
  </r>
  <r>
    <s v="Call_8065"/>
    <x v="3"/>
    <n v="103"/>
    <x v="4"/>
    <x v="251"/>
    <n v="160"/>
    <n v="4.5"/>
    <n v="2024"/>
    <x v="3"/>
    <s v="1 to 2 hours"/>
    <x v="0"/>
    <x v="1"/>
    <x v="1"/>
    <m/>
    <n v="1"/>
    <n v="1"/>
  </r>
  <r>
    <s v="Call_8066"/>
    <x v="7"/>
    <n v="138"/>
    <x v="3"/>
    <x v="252"/>
    <n v="155"/>
    <n v="2.7"/>
    <n v="2024"/>
    <x v="4"/>
    <s v="More than 2 hours"/>
    <x v="1"/>
    <x v="2"/>
    <x v="1"/>
    <m/>
    <n v="1"/>
    <n v="0"/>
  </r>
  <r>
    <s v="Call_8067"/>
    <x v="6"/>
    <n v="88"/>
    <x v="1"/>
    <x v="252"/>
    <n v="100"/>
    <n v="4.9000000000000004"/>
    <n v="2024"/>
    <x v="4"/>
    <s v="1 to 2 hours"/>
    <x v="0"/>
    <x v="2"/>
    <x v="1"/>
    <m/>
    <n v="1"/>
    <n v="1"/>
  </r>
  <r>
    <s v="Call_8068"/>
    <x v="9"/>
    <n v="118"/>
    <x v="2"/>
    <x v="252"/>
    <n v="56"/>
    <n v="3.7"/>
    <n v="2024"/>
    <x v="4"/>
    <s v="1 to 2 hours"/>
    <x v="2"/>
    <x v="1"/>
    <x v="1"/>
    <m/>
    <n v="1"/>
    <n v="0"/>
  </r>
  <r>
    <s v="Call_8069"/>
    <x v="4"/>
    <n v="4"/>
    <x v="0"/>
    <x v="252"/>
    <n v="170"/>
    <n v="3.9"/>
    <n v="2024"/>
    <x v="4"/>
    <s v="Under 10 mins"/>
    <x v="2"/>
    <x v="0"/>
    <x v="1"/>
    <m/>
    <n v="1"/>
    <n v="0"/>
  </r>
  <r>
    <s v="Call_8070"/>
    <x v="13"/>
    <n v="78"/>
    <x v="4"/>
    <x v="253"/>
    <n v="74"/>
    <n v="3.5"/>
    <n v="2024"/>
    <x v="5"/>
    <s v="1 to 2 hours"/>
    <x v="2"/>
    <x v="1"/>
    <x v="0"/>
    <m/>
    <n v="1"/>
    <n v="0"/>
  </r>
  <r>
    <s v="Call_8071"/>
    <x v="10"/>
    <n v="69"/>
    <x v="0"/>
    <x v="253"/>
    <n v="99"/>
    <n v="2.7"/>
    <n v="2024"/>
    <x v="5"/>
    <s v="1 to 2 hours"/>
    <x v="1"/>
    <x v="1"/>
    <x v="0"/>
    <m/>
    <n v="1"/>
    <n v="0"/>
  </r>
  <r>
    <s v="Call_8072"/>
    <x v="5"/>
    <n v="90"/>
    <x v="3"/>
    <x v="253"/>
    <n v="84"/>
    <n v="3.9"/>
    <n v="2024"/>
    <x v="5"/>
    <s v="1 to 2 hours"/>
    <x v="2"/>
    <x v="2"/>
    <x v="1"/>
    <m/>
    <n v="1"/>
    <n v="0"/>
  </r>
  <r>
    <s v="Call_8073"/>
    <x v="10"/>
    <n v="134"/>
    <x v="0"/>
    <x v="253"/>
    <n v="35"/>
    <n v="3.4"/>
    <n v="2024"/>
    <x v="5"/>
    <s v="More than 2 hours"/>
    <x v="1"/>
    <x v="1"/>
    <x v="0"/>
    <m/>
    <n v="1"/>
    <n v="0"/>
  </r>
  <r>
    <s v="Call_8074"/>
    <x v="1"/>
    <n v="65"/>
    <x v="2"/>
    <x v="253"/>
    <n v="150"/>
    <n v="5"/>
    <n v="2024"/>
    <x v="5"/>
    <s v="1 to 2 hours"/>
    <x v="0"/>
    <x v="0"/>
    <x v="0"/>
    <m/>
    <n v="1"/>
    <n v="1"/>
  </r>
  <r>
    <s v="Call_8075"/>
    <x v="2"/>
    <n v="54"/>
    <x v="4"/>
    <x v="254"/>
    <n v="176"/>
    <n v="4.4000000000000004"/>
    <n v="2024"/>
    <x v="6"/>
    <s v="30 to 60 mins"/>
    <x v="2"/>
    <x v="1"/>
    <x v="0"/>
    <m/>
    <n v="1"/>
    <n v="0"/>
  </r>
  <r>
    <s v="Call_8076"/>
    <x v="2"/>
    <n v="90"/>
    <x v="4"/>
    <x v="254"/>
    <n v="84"/>
    <n v="4.3"/>
    <n v="2024"/>
    <x v="6"/>
    <s v="1 to 2 hours"/>
    <x v="2"/>
    <x v="1"/>
    <x v="0"/>
    <m/>
    <n v="1"/>
    <n v="0"/>
  </r>
  <r>
    <s v="Call_8077"/>
    <x v="5"/>
    <n v="66"/>
    <x v="4"/>
    <x v="254"/>
    <n v="136"/>
    <n v="4.7"/>
    <n v="2024"/>
    <x v="6"/>
    <s v="1 to 2 hours"/>
    <x v="0"/>
    <x v="2"/>
    <x v="1"/>
    <m/>
    <n v="1"/>
    <n v="1"/>
  </r>
  <r>
    <s v="Call_8078"/>
    <x v="4"/>
    <n v="150"/>
    <x v="4"/>
    <x v="255"/>
    <n v="70"/>
    <n v="4.0999999999999996"/>
    <n v="2024"/>
    <x v="0"/>
    <s v="More than 2 hours"/>
    <x v="2"/>
    <x v="0"/>
    <x v="1"/>
    <m/>
    <n v="1"/>
    <n v="0"/>
  </r>
  <r>
    <s v="Call_8079"/>
    <x v="8"/>
    <n v="18"/>
    <x v="2"/>
    <x v="255"/>
    <n v="96"/>
    <n v="4.8"/>
    <n v="2024"/>
    <x v="0"/>
    <s v="10 to 30 mins"/>
    <x v="0"/>
    <x v="2"/>
    <x v="0"/>
    <m/>
    <n v="1"/>
    <n v="1"/>
  </r>
  <r>
    <s v="Call_8080"/>
    <x v="2"/>
    <n v="87"/>
    <x v="2"/>
    <x v="255"/>
    <n v="23"/>
    <n v="4.2"/>
    <n v="2024"/>
    <x v="0"/>
    <s v="1 to 2 hours"/>
    <x v="2"/>
    <x v="1"/>
    <x v="0"/>
    <m/>
    <n v="1"/>
    <n v="0"/>
  </r>
  <r>
    <s v="Call_8081"/>
    <x v="7"/>
    <n v="94"/>
    <x v="4"/>
    <x v="256"/>
    <n v="120"/>
    <n v="3.4"/>
    <n v="2024"/>
    <x v="1"/>
    <s v="1 to 2 hours"/>
    <x v="1"/>
    <x v="2"/>
    <x v="1"/>
    <m/>
    <n v="1"/>
    <n v="0"/>
  </r>
  <r>
    <s v="Call_8082"/>
    <x v="12"/>
    <n v="56"/>
    <x v="4"/>
    <x v="256"/>
    <n v="205"/>
    <n v="3.3"/>
    <n v="2024"/>
    <x v="1"/>
    <s v="30 to 60 mins"/>
    <x v="1"/>
    <x v="0"/>
    <x v="1"/>
    <m/>
    <n v="1"/>
    <n v="0"/>
  </r>
  <r>
    <s v="Call_8083"/>
    <x v="9"/>
    <n v="41"/>
    <x v="1"/>
    <x v="257"/>
    <n v="42"/>
    <n v="3.8"/>
    <n v="2024"/>
    <x v="2"/>
    <s v="30 to 60 mins"/>
    <x v="2"/>
    <x v="1"/>
    <x v="1"/>
    <m/>
    <n v="1"/>
    <n v="0"/>
  </r>
  <r>
    <s v="Call_8084"/>
    <x v="4"/>
    <n v="119"/>
    <x v="3"/>
    <x v="257"/>
    <n v="111"/>
    <n v="3.9"/>
    <n v="2024"/>
    <x v="2"/>
    <s v="1 to 2 hours"/>
    <x v="2"/>
    <x v="0"/>
    <x v="1"/>
    <m/>
    <n v="1"/>
    <n v="0"/>
  </r>
  <r>
    <s v="Call_8085"/>
    <x v="3"/>
    <n v="108"/>
    <x v="4"/>
    <x v="257"/>
    <n v="68"/>
    <n v="2.5"/>
    <n v="2024"/>
    <x v="2"/>
    <s v="1 to 2 hours"/>
    <x v="1"/>
    <x v="1"/>
    <x v="1"/>
    <m/>
    <n v="1"/>
    <n v="0"/>
  </r>
  <r>
    <s v="Call_8086"/>
    <x v="13"/>
    <n v="63"/>
    <x v="0"/>
    <x v="257"/>
    <n v="172"/>
    <n v="4.9000000000000004"/>
    <n v="2024"/>
    <x v="2"/>
    <s v="1 to 2 hours"/>
    <x v="0"/>
    <x v="1"/>
    <x v="0"/>
    <m/>
    <n v="1"/>
    <n v="1"/>
  </r>
  <r>
    <s v="Call_8087"/>
    <x v="11"/>
    <n v="59"/>
    <x v="4"/>
    <x v="257"/>
    <n v="152"/>
    <n v="4.8"/>
    <n v="2024"/>
    <x v="2"/>
    <s v="30 to 60 mins"/>
    <x v="0"/>
    <x v="2"/>
    <x v="1"/>
    <m/>
    <n v="1"/>
    <n v="1"/>
  </r>
  <r>
    <s v="Call_8088"/>
    <x v="11"/>
    <n v="90"/>
    <x v="1"/>
    <x v="257"/>
    <n v="48"/>
    <n v="4.7"/>
    <n v="2024"/>
    <x v="2"/>
    <s v="1 to 2 hours"/>
    <x v="0"/>
    <x v="2"/>
    <x v="1"/>
    <m/>
    <n v="1"/>
    <n v="1"/>
  </r>
  <r>
    <s v="Call_8089"/>
    <x v="6"/>
    <n v="55"/>
    <x v="1"/>
    <x v="257"/>
    <n v="25"/>
    <n v="4.7"/>
    <n v="2024"/>
    <x v="2"/>
    <s v="30 to 60 mins"/>
    <x v="0"/>
    <x v="2"/>
    <x v="1"/>
    <m/>
    <n v="1"/>
    <n v="1"/>
  </r>
  <r>
    <s v="Call_8090"/>
    <x v="3"/>
    <n v="84"/>
    <x v="3"/>
    <x v="258"/>
    <n v="54"/>
    <n v="3.3"/>
    <n v="2024"/>
    <x v="3"/>
    <s v="1 to 2 hours"/>
    <x v="1"/>
    <x v="1"/>
    <x v="1"/>
    <m/>
    <n v="1"/>
    <n v="0"/>
  </r>
  <r>
    <s v="Call_8091"/>
    <x v="3"/>
    <n v="150"/>
    <x v="2"/>
    <x v="258"/>
    <n v="108"/>
    <n v="4.7"/>
    <n v="2024"/>
    <x v="3"/>
    <s v="More than 2 hours"/>
    <x v="0"/>
    <x v="1"/>
    <x v="1"/>
    <m/>
    <n v="1"/>
    <n v="1"/>
  </r>
  <r>
    <s v="Call_8092"/>
    <x v="14"/>
    <n v="69"/>
    <x v="4"/>
    <x v="258"/>
    <n v="36"/>
    <n v="4.5"/>
    <n v="2024"/>
    <x v="3"/>
    <s v="1 to 2 hours"/>
    <x v="0"/>
    <x v="2"/>
    <x v="1"/>
    <m/>
    <n v="1"/>
    <n v="1"/>
  </r>
  <r>
    <s v="Call_8093"/>
    <x v="0"/>
    <n v="120"/>
    <x v="1"/>
    <x v="259"/>
    <n v="140"/>
    <n v="4.5999999999999996"/>
    <n v="2024"/>
    <x v="4"/>
    <s v="1 to 2 hours"/>
    <x v="0"/>
    <x v="0"/>
    <x v="0"/>
    <m/>
    <n v="1"/>
    <n v="1"/>
  </r>
  <r>
    <s v="Call_8094"/>
    <x v="2"/>
    <n v="126"/>
    <x v="3"/>
    <x v="259"/>
    <n v="50"/>
    <n v="4.8"/>
    <n v="2024"/>
    <x v="4"/>
    <s v="More than 2 hours"/>
    <x v="0"/>
    <x v="1"/>
    <x v="0"/>
    <m/>
    <n v="1"/>
    <n v="1"/>
  </r>
  <r>
    <s v="Call_8095"/>
    <x v="14"/>
    <n v="120"/>
    <x v="0"/>
    <x v="259"/>
    <n v="195"/>
    <n v="4.3"/>
    <n v="2024"/>
    <x v="4"/>
    <s v="1 to 2 hours"/>
    <x v="2"/>
    <x v="2"/>
    <x v="1"/>
    <m/>
    <n v="1"/>
    <n v="0"/>
  </r>
  <r>
    <s v="Call_8096"/>
    <x v="2"/>
    <n v="139"/>
    <x v="1"/>
    <x v="260"/>
    <n v="48"/>
    <n v="4.7"/>
    <n v="2024"/>
    <x v="5"/>
    <s v="More than 2 hours"/>
    <x v="0"/>
    <x v="1"/>
    <x v="0"/>
    <m/>
    <n v="1"/>
    <n v="1"/>
  </r>
  <r>
    <s v="Call_8097"/>
    <x v="6"/>
    <n v="124"/>
    <x v="4"/>
    <x v="261"/>
    <n v="29"/>
    <n v="4.8"/>
    <n v="2024"/>
    <x v="6"/>
    <s v="More than 2 hours"/>
    <x v="0"/>
    <x v="2"/>
    <x v="1"/>
    <m/>
    <n v="1"/>
    <n v="1"/>
  </r>
  <r>
    <s v="Call_8098"/>
    <x v="0"/>
    <n v="108"/>
    <x v="0"/>
    <x v="261"/>
    <n v="44"/>
    <n v="4.7"/>
    <n v="2024"/>
    <x v="6"/>
    <s v="1 to 2 hours"/>
    <x v="0"/>
    <x v="0"/>
    <x v="0"/>
    <m/>
    <n v="1"/>
    <n v="1"/>
  </r>
  <r>
    <s v="Call_8099"/>
    <x v="1"/>
    <n v="132"/>
    <x v="2"/>
    <x v="261"/>
    <n v="140"/>
    <n v="4.3"/>
    <n v="2024"/>
    <x v="6"/>
    <s v="More than 2 hours"/>
    <x v="2"/>
    <x v="0"/>
    <x v="0"/>
    <m/>
    <n v="1"/>
    <n v="0"/>
  </r>
  <r>
    <s v="Call_8100"/>
    <x v="13"/>
    <n v="67"/>
    <x v="2"/>
    <x v="261"/>
    <n v="105"/>
    <n v="3.8"/>
    <n v="2024"/>
    <x v="6"/>
    <s v="1 to 2 hours"/>
    <x v="2"/>
    <x v="1"/>
    <x v="0"/>
    <m/>
    <n v="1"/>
    <n v="0"/>
  </r>
  <r>
    <s v="Call_8101"/>
    <x v="5"/>
    <n v="125"/>
    <x v="2"/>
    <x v="261"/>
    <n v="82"/>
    <n v="4.5999999999999996"/>
    <n v="2024"/>
    <x v="6"/>
    <s v="More than 2 hours"/>
    <x v="0"/>
    <x v="2"/>
    <x v="1"/>
    <m/>
    <n v="1"/>
    <n v="1"/>
  </r>
  <r>
    <s v="Call_8102"/>
    <x v="0"/>
    <n v="23"/>
    <x v="0"/>
    <x v="261"/>
    <n v="24"/>
    <n v="2.9"/>
    <n v="2024"/>
    <x v="6"/>
    <s v="10 to 30 mins"/>
    <x v="1"/>
    <x v="0"/>
    <x v="0"/>
    <m/>
    <n v="1"/>
    <n v="0"/>
  </r>
  <r>
    <s v="Call_8103"/>
    <x v="4"/>
    <n v="131"/>
    <x v="4"/>
    <x v="262"/>
    <n v="205"/>
    <n v="4.8"/>
    <n v="2024"/>
    <x v="0"/>
    <s v="More than 2 hours"/>
    <x v="0"/>
    <x v="0"/>
    <x v="1"/>
    <m/>
    <n v="1"/>
    <n v="1"/>
  </r>
  <r>
    <s v="Call_8104"/>
    <x v="1"/>
    <n v="56"/>
    <x v="1"/>
    <x v="262"/>
    <n v="225"/>
    <n v="4.9000000000000004"/>
    <n v="2024"/>
    <x v="0"/>
    <s v="30 to 60 mins"/>
    <x v="0"/>
    <x v="0"/>
    <x v="0"/>
    <m/>
    <n v="1"/>
    <n v="1"/>
  </r>
  <r>
    <s v="Call_8105"/>
    <x v="4"/>
    <n v="70"/>
    <x v="4"/>
    <x v="262"/>
    <n v="50"/>
    <n v="3.4"/>
    <n v="2024"/>
    <x v="0"/>
    <s v="1 to 2 hours"/>
    <x v="1"/>
    <x v="0"/>
    <x v="1"/>
    <m/>
    <n v="1"/>
    <n v="0"/>
  </r>
  <r>
    <s v="Call_8106"/>
    <x v="4"/>
    <n v="55"/>
    <x v="2"/>
    <x v="262"/>
    <n v="80"/>
    <n v="4.3"/>
    <n v="2024"/>
    <x v="0"/>
    <s v="30 to 60 mins"/>
    <x v="2"/>
    <x v="0"/>
    <x v="1"/>
    <m/>
    <n v="1"/>
    <n v="0"/>
  </r>
  <r>
    <s v="Call_8107"/>
    <x v="5"/>
    <n v="77"/>
    <x v="1"/>
    <x v="262"/>
    <n v="78"/>
    <n v="3.9"/>
    <n v="2024"/>
    <x v="0"/>
    <s v="1 to 2 hours"/>
    <x v="2"/>
    <x v="2"/>
    <x v="1"/>
    <m/>
    <n v="1"/>
    <n v="0"/>
  </r>
  <r>
    <s v="Call_8108"/>
    <x v="3"/>
    <n v="133"/>
    <x v="4"/>
    <x v="263"/>
    <n v="40"/>
    <n v="3.9"/>
    <n v="2024"/>
    <x v="1"/>
    <s v="More than 2 hours"/>
    <x v="2"/>
    <x v="1"/>
    <x v="1"/>
    <m/>
    <n v="1"/>
    <n v="0"/>
  </r>
  <r>
    <s v="Call_8109"/>
    <x v="5"/>
    <n v="77"/>
    <x v="1"/>
    <x v="263"/>
    <n v="176"/>
    <n v="1.5"/>
    <n v="2024"/>
    <x v="1"/>
    <s v="1 to 2 hours"/>
    <x v="3"/>
    <x v="2"/>
    <x v="1"/>
    <m/>
    <n v="1"/>
    <n v="0"/>
  </r>
  <r>
    <s v="Call_8110"/>
    <x v="11"/>
    <n v="103"/>
    <x v="4"/>
    <x v="263"/>
    <n v="78"/>
    <n v="3"/>
    <n v="2024"/>
    <x v="1"/>
    <s v="1 to 2 hours"/>
    <x v="1"/>
    <x v="2"/>
    <x v="1"/>
    <m/>
    <n v="1"/>
    <n v="0"/>
  </r>
  <r>
    <s v="Call_8111"/>
    <x v="14"/>
    <n v="32"/>
    <x v="1"/>
    <x v="263"/>
    <n v="42"/>
    <n v="4.2"/>
    <n v="2024"/>
    <x v="1"/>
    <s v="30 to 60 mins"/>
    <x v="2"/>
    <x v="2"/>
    <x v="1"/>
    <m/>
    <n v="1"/>
    <n v="0"/>
  </r>
  <r>
    <s v="Call_8112"/>
    <x v="3"/>
    <n v="30"/>
    <x v="4"/>
    <x v="263"/>
    <n v="38"/>
    <n v="3.7"/>
    <n v="2024"/>
    <x v="1"/>
    <s v="10 to 30 mins"/>
    <x v="2"/>
    <x v="1"/>
    <x v="1"/>
    <m/>
    <n v="1"/>
    <n v="0"/>
  </r>
  <r>
    <s v="Call_8113"/>
    <x v="2"/>
    <n v="87"/>
    <x v="3"/>
    <x v="263"/>
    <n v="27"/>
    <n v="4.2"/>
    <n v="2024"/>
    <x v="1"/>
    <s v="1 to 2 hours"/>
    <x v="2"/>
    <x v="1"/>
    <x v="0"/>
    <m/>
    <n v="1"/>
    <n v="0"/>
  </r>
  <r>
    <s v="Call_8114"/>
    <x v="5"/>
    <n v="137"/>
    <x v="0"/>
    <x v="264"/>
    <n v="45"/>
    <n v="4.4000000000000004"/>
    <n v="2024"/>
    <x v="2"/>
    <s v="More than 2 hours"/>
    <x v="2"/>
    <x v="2"/>
    <x v="1"/>
    <m/>
    <n v="1"/>
    <n v="0"/>
  </r>
  <r>
    <s v="Call_8115"/>
    <x v="7"/>
    <n v="96"/>
    <x v="4"/>
    <x v="264"/>
    <n v="215"/>
    <n v="4"/>
    <n v="2024"/>
    <x v="2"/>
    <s v="1 to 2 hours"/>
    <x v="2"/>
    <x v="2"/>
    <x v="1"/>
    <m/>
    <n v="1"/>
    <n v="0"/>
  </r>
  <r>
    <s v="Call_8116"/>
    <x v="6"/>
    <n v="155"/>
    <x v="4"/>
    <x v="265"/>
    <n v="72"/>
    <n v="4.7"/>
    <n v="2024"/>
    <x v="3"/>
    <s v="More than 2 hours"/>
    <x v="0"/>
    <x v="2"/>
    <x v="1"/>
    <m/>
    <n v="1"/>
    <n v="1"/>
  </r>
  <r>
    <s v="Call_8117"/>
    <x v="3"/>
    <n v="173"/>
    <x v="2"/>
    <x v="265"/>
    <n v="160"/>
    <n v="2.8"/>
    <n v="2024"/>
    <x v="3"/>
    <s v="More than 2 hours"/>
    <x v="1"/>
    <x v="1"/>
    <x v="1"/>
    <m/>
    <n v="1"/>
    <n v="0"/>
  </r>
  <r>
    <s v="Call_8118"/>
    <x v="6"/>
    <n v="127"/>
    <x v="4"/>
    <x v="265"/>
    <n v="165"/>
    <n v="2.5"/>
    <n v="2024"/>
    <x v="3"/>
    <s v="More than 2 hours"/>
    <x v="1"/>
    <x v="2"/>
    <x v="1"/>
    <m/>
    <n v="1"/>
    <n v="0"/>
  </r>
  <r>
    <s v="Call_8119"/>
    <x v="1"/>
    <n v="117"/>
    <x v="2"/>
    <x v="265"/>
    <n v="120"/>
    <n v="3.4"/>
    <n v="2024"/>
    <x v="3"/>
    <s v="1 to 2 hours"/>
    <x v="1"/>
    <x v="0"/>
    <x v="0"/>
    <m/>
    <n v="1"/>
    <n v="0"/>
  </r>
  <r>
    <s v="Call_8120"/>
    <x v="0"/>
    <n v="133"/>
    <x v="1"/>
    <x v="265"/>
    <n v="117"/>
    <n v="4.8"/>
    <n v="2024"/>
    <x v="3"/>
    <s v="More than 2 hours"/>
    <x v="0"/>
    <x v="0"/>
    <x v="0"/>
    <m/>
    <n v="1"/>
    <n v="1"/>
  </r>
  <r>
    <s v="Call_8121"/>
    <x v="8"/>
    <n v="166"/>
    <x v="3"/>
    <x v="266"/>
    <n v="29"/>
    <n v="4.3"/>
    <n v="2024"/>
    <x v="4"/>
    <s v="More than 2 hours"/>
    <x v="2"/>
    <x v="2"/>
    <x v="0"/>
    <m/>
    <n v="1"/>
    <n v="0"/>
  </r>
  <r>
    <s v="Call_8122"/>
    <x v="0"/>
    <n v="50"/>
    <x v="2"/>
    <x v="266"/>
    <n v="64"/>
    <n v="4.5"/>
    <n v="2024"/>
    <x v="4"/>
    <s v="30 to 60 mins"/>
    <x v="0"/>
    <x v="0"/>
    <x v="0"/>
    <m/>
    <n v="1"/>
    <n v="1"/>
  </r>
  <r>
    <s v="Call_8123"/>
    <x v="11"/>
    <n v="43"/>
    <x v="1"/>
    <x v="266"/>
    <n v="84"/>
    <n v="3.6"/>
    <n v="2024"/>
    <x v="4"/>
    <s v="30 to 60 mins"/>
    <x v="2"/>
    <x v="2"/>
    <x v="1"/>
    <m/>
    <n v="1"/>
    <n v="0"/>
  </r>
  <r>
    <s v="Call_8124"/>
    <x v="7"/>
    <n v="124"/>
    <x v="4"/>
    <x v="266"/>
    <n v="42"/>
    <n v="3.7"/>
    <n v="2024"/>
    <x v="4"/>
    <s v="More than 2 hours"/>
    <x v="2"/>
    <x v="2"/>
    <x v="1"/>
    <m/>
    <n v="1"/>
    <n v="0"/>
  </r>
  <r>
    <s v="Call_8125"/>
    <x v="3"/>
    <n v="94"/>
    <x v="4"/>
    <x v="266"/>
    <n v="120"/>
    <n v="3.5"/>
    <n v="2024"/>
    <x v="4"/>
    <s v="1 to 2 hours"/>
    <x v="2"/>
    <x v="1"/>
    <x v="1"/>
    <m/>
    <n v="1"/>
    <n v="0"/>
  </r>
  <r>
    <s v="Call_8126"/>
    <x v="11"/>
    <n v="126"/>
    <x v="3"/>
    <x v="267"/>
    <n v="80"/>
    <n v="4.7"/>
    <n v="2024"/>
    <x v="5"/>
    <s v="More than 2 hours"/>
    <x v="0"/>
    <x v="2"/>
    <x v="1"/>
    <m/>
    <n v="1"/>
    <n v="1"/>
  </r>
  <r>
    <s v="Call_8127"/>
    <x v="8"/>
    <n v="105"/>
    <x v="2"/>
    <x v="267"/>
    <n v="185"/>
    <n v="3.5"/>
    <n v="2024"/>
    <x v="5"/>
    <s v="1 to 2 hours"/>
    <x v="2"/>
    <x v="2"/>
    <x v="0"/>
    <m/>
    <n v="1"/>
    <n v="0"/>
  </r>
  <r>
    <s v="Call_8128"/>
    <x v="4"/>
    <n v="60"/>
    <x v="0"/>
    <x v="268"/>
    <n v="135"/>
    <n v="3.9"/>
    <n v="2024"/>
    <x v="6"/>
    <s v="30 to 60 mins"/>
    <x v="2"/>
    <x v="0"/>
    <x v="1"/>
    <m/>
    <n v="1"/>
    <n v="0"/>
  </r>
  <r>
    <s v="Call_8129"/>
    <x v="4"/>
    <n v="72"/>
    <x v="2"/>
    <x v="268"/>
    <n v="20"/>
    <n v="4.8"/>
    <n v="2024"/>
    <x v="6"/>
    <s v="1 to 2 hours"/>
    <x v="0"/>
    <x v="0"/>
    <x v="1"/>
    <m/>
    <n v="1"/>
    <n v="1"/>
  </r>
  <r>
    <s v="Call_8130"/>
    <x v="12"/>
    <n v="40"/>
    <x v="2"/>
    <x v="268"/>
    <n v="31"/>
    <n v="4"/>
    <n v="2024"/>
    <x v="6"/>
    <s v="30 to 60 mins"/>
    <x v="2"/>
    <x v="0"/>
    <x v="1"/>
    <m/>
    <n v="1"/>
    <n v="0"/>
  </r>
  <r>
    <s v="Call_8131"/>
    <x v="14"/>
    <n v="54"/>
    <x v="3"/>
    <x v="269"/>
    <n v="120"/>
    <n v="4.7"/>
    <n v="2024"/>
    <x v="0"/>
    <s v="30 to 60 mins"/>
    <x v="0"/>
    <x v="2"/>
    <x v="1"/>
    <m/>
    <n v="1"/>
    <n v="1"/>
  </r>
  <r>
    <s v="Call_8132"/>
    <x v="1"/>
    <n v="81"/>
    <x v="1"/>
    <x v="269"/>
    <n v="117"/>
    <n v="3.6"/>
    <n v="2024"/>
    <x v="0"/>
    <s v="1 to 2 hours"/>
    <x v="2"/>
    <x v="0"/>
    <x v="0"/>
    <m/>
    <n v="1"/>
    <n v="0"/>
  </r>
  <r>
    <s v="Call_8133"/>
    <x v="14"/>
    <n v="76"/>
    <x v="4"/>
    <x v="269"/>
    <n v="80"/>
    <n v="4.5"/>
    <n v="2024"/>
    <x v="0"/>
    <s v="1 to 2 hours"/>
    <x v="0"/>
    <x v="2"/>
    <x v="1"/>
    <m/>
    <n v="1"/>
    <n v="1"/>
  </r>
  <r>
    <s v="Call_8134"/>
    <x v="14"/>
    <n v="37"/>
    <x v="0"/>
    <x v="270"/>
    <n v="117"/>
    <n v="4"/>
    <n v="2024"/>
    <x v="1"/>
    <s v="30 to 60 mins"/>
    <x v="2"/>
    <x v="2"/>
    <x v="1"/>
    <m/>
    <n v="1"/>
    <n v="0"/>
  </r>
  <r>
    <s v="Call_8135"/>
    <x v="8"/>
    <n v="96"/>
    <x v="3"/>
    <x v="270"/>
    <n v="60"/>
    <n v="4.5"/>
    <n v="2024"/>
    <x v="1"/>
    <s v="1 to 2 hours"/>
    <x v="0"/>
    <x v="2"/>
    <x v="0"/>
    <m/>
    <n v="1"/>
    <n v="1"/>
  </r>
  <r>
    <s v="Call_8136"/>
    <x v="4"/>
    <n v="19"/>
    <x v="4"/>
    <x v="271"/>
    <n v="58"/>
    <n v="3.9"/>
    <n v="2024"/>
    <x v="2"/>
    <s v="10 to 30 mins"/>
    <x v="2"/>
    <x v="0"/>
    <x v="1"/>
    <m/>
    <n v="1"/>
    <n v="0"/>
  </r>
  <r>
    <s v="Call_8137"/>
    <x v="12"/>
    <n v="72"/>
    <x v="0"/>
    <x v="271"/>
    <n v="41"/>
    <n v="4.3"/>
    <n v="2024"/>
    <x v="2"/>
    <s v="1 to 2 hours"/>
    <x v="2"/>
    <x v="0"/>
    <x v="1"/>
    <m/>
    <n v="1"/>
    <n v="0"/>
  </r>
  <r>
    <s v="Call_8138"/>
    <x v="3"/>
    <n v="73"/>
    <x v="1"/>
    <x v="271"/>
    <n v="180"/>
    <n v="3.6"/>
    <n v="2024"/>
    <x v="2"/>
    <s v="1 to 2 hours"/>
    <x v="2"/>
    <x v="1"/>
    <x v="1"/>
    <m/>
    <n v="1"/>
    <n v="0"/>
  </r>
  <r>
    <s v="Call_8139"/>
    <x v="13"/>
    <n v="87"/>
    <x v="1"/>
    <x v="271"/>
    <n v="42"/>
    <n v="3.6"/>
    <n v="2024"/>
    <x v="2"/>
    <s v="1 to 2 hours"/>
    <x v="2"/>
    <x v="1"/>
    <x v="0"/>
    <m/>
    <n v="1"/>
    <n v="0"/>
  </r>
  <r>
    <s v="Call_8140"/>
    <x v="13"/>
    <n v="68"/>
    <x v="1"/>
    <x v="272"/>
    <n v="24"/>
    <n v="4"/>
    <n v="2024"/>
    <x v="3"/>
    <s v="1 to 2 hours"/>
    <x v="2"/>
    <x v="1"/>
    <x v="0"/>
    <m/>
    <n v="1"/>
    <n v="0"/>
  </r>
  <r>
    <s v="Call_8141"/>
    <x v="12"/>
    <n v="101"/>
    <x v="1"/>
    <x v="272"/>
    <n v="125"/>
    <n v="4.2"/>
    <n v="2024"/>
    <x v="3"/>
    <s v="1 to 2 hours"/>
    <x v="2"/>
    <x v="0"/>
    <x v="1"/>
    <m/>
    <n v="1"/>
    <n v="0"/>
  </r>
  <r>
    <s v="Call_8142"/>
    <x v="12"/>
    <n v="107"/>
    <x v="0"/>
    <x v="273"/>
    <n v="78"/>
    <n v="4.3"/>
    <n v="2024"/>
    <x v="4"/>
    <s v="1 to 2 hours"/>
    <x v="2"/>
    <x v="0"/>
    <x v="1"/>
    <m/>
    <n v="1"/>
    <n v="0"/>
  </r>
  <r>
    <s v="Call_8143"/>
    <x v="9"/>
    <n v="109"/>
    <x v="2"/>
    <x v="273"/>
    <n v="180"/>
    <n v="3.8"/>
    <n v="2024"/>
    <x v="4"/>
    <s v="1 to 2 hours"/>
    <x v="2"/>
    <x v="1"/>
    <x v="1"/>
    <m/>
    <n v="1"/>
    <n v="0"/>
  </r>
  <r>
    <s v="Call_8144"/>
    <x v="7"/>
    <n v="171"/>
    <x v="0"/>
    <x v="273"/>
    <n v="84"/>
    <n v="4.4000000000000004"/>
    <n v="2024"/>
    <x v="4"/>
    <s v="More than 2 hours"/>
    <x v="2"/>
    <x v="2"/>
    <x v="1"/>
    <m/>
    <n v="1"/>
    <n v="0"/>
  </r>
  <r>
    <s v="Call_8145"/>
    <x v="4"/>
    <n v="21"/>
    <x v="0"/>
    <x v="273"/>
    <n v="26"/>
    <n v="4.7"/>
    <n v="2024"/>
    <x v="4"/>
    <s v="10 to 30 mins"/>
    <x v="0"/>
    <x v="0"/>
    <x v="1"/>
    <m/>
    <n v="1"/>
    <n v="1"/>
  </r>
  <r>
    <s v="Call_8146"/>
    <x v="1"/>
    <n v="94"/>
    <x v="0"/>
    <x v="274"/>
    <n v="140"/>
    <n v="3.6"/>
    <n v="2024"/>
    <x v="5"/>
    <s v="1 to 2 hours"/>
    <x v="2"/>
    <x v="0"/>
    <x v="0"/>
    <m/>
    <n v="1"/>
    <n v="0"/>
  </r>
  <r>
    <s v="Call_8147"/>
    <x v="3"/>
    <n v="97"/>
    <x v="2"/>
    <x v="274"/>
    <n v="31"/>
    <n v="2.2000000000000002"/>
    <n v="2024"/>
    <x v="5"/>
    <s v="1 to 2 hours"/>
    <x v="3"/>
    <x v="1"/>
    <x v="1"/>
    <m/>
    <n v="1"/>
    <n v="0"/>
  </r>
  <r>
    <s v="Call_8148"/>
    <x v="8"/>
    <n v="72"/>
    <x v="2"/>
    <x v="274"/>
    <n v="108"/>
    <n v="4.8"/>
    <n v="2024"/>
    <x v="5"/>
    <s v="1 to 2 hours"/>
    <x v="0"/>
    <x v="2"/>
    <x v="0"/>
    <m/>
    <n v="1"/>
    <n v="1"/>
  </r>
  <r>
    <s v="Call_8149"/>
    <x v="7"/>
    <n v="143"/>
    <x v="3"/>
    <x v="275"/>
    <n v="58"/>
    <n v="4.3"/>
    <n v="2024"/>
    <x v="6"/>
    <s v="More than 2 hours"/>
    <x v="2"/>
    <x v="2"/>
    <x v="1"/>
    <m/>
    <n v="1"/>
    <n v="0"/>
  </r>
  <r>
    <s v="Call_8150"/>
    <x v="7"/>
    <n v="64"/>
    <x v="2"/>
    <x v="275"/>
    <n v="185"/>
    <n v="2.2000000000000002"/>
    <n v="2024"/>
    <x v="6"/>
    <s v="1 to 2 hours"/>
    <x v="3"/>
    <x v="2"/>
    <x v="1"/>
    <m/>
    <n v="1"/>
    <n v="0"/>
  </r>
  <r>
    <s v="Call_8151"/>
    <x v="7"/>
    <n v="69"/>
    <x v="2"/>
    <x v="275"/>
    <n v="40"/>
    <n v="4.8"/>
    <n v="2024"/>
    <x v="6"/>
    <s v="1 to 2 hours"/>
    <x v="0"/>
    <x v="2"/>
    <x v="1"/>
    <m/>
    <n v="1"/>
    <n v="1"/>
  </r>
  <r>
    <s v="Call_8152"/>
    <x v="7"/>
    <n v="18"/>
    <x v="4"/>
    <x v="275"/>
    <n v="225"/>
    <n v="2.6"/>
    <n v="2024"/>
    <x v="6"/>
    <s v="10 to 30 mins"/>
    <x v="1"/>
    <x v="2"/>
    <x v="1"/>
    <m/>
    <n v="1"/>
    <n v="0"/>
  </r>
  <r>
    <s v="Call_8153"/>
    <x v="3"/>
    <n v="100"/>
    <x v="3"/>
    <x v="275"/>
    <n v="150"/>
    <n v="2.6"/>
    <n v="2024"/>
    <x v="6"/>
    <s v="1 to 2 hours"/>
    <x v="1"/>
    <x v="1"/>
    <x v="1"/>
    <m/>
    <n v="1"/>
    <n v="0"/>
  </r>
  <r>
    <s v="Call_8154"/>
    <x v="6"/>
    <n v="110"/>
    <x v="1"/>
    <x v="276"/>
    <n v="88"/>
    <n v="3.4"/>
    <n v="2024"/>
    <x v="0"/>
    <s v="1 to 2 hours"/>
    <x v="1"/>
    <x v="2"/>
    <x v="1"/>
    <m/>
    <n v="1"/>
    <n v="0"/>
  </r>
  <r>
    <s v="Call_8155"/>
    <x v="10"/>
    <n v="41"/>
    <x v="0"/>
    <x v="276"/>
    <n v="140"/>
    <n v="3.7"/>
    <n v="2024"/>
    <x v="0"/>
    <s v="30 to 60 mins"/>
    <x v="2"/>
    <x v="1"/>
    <x v="0"/>
    <m/>
    <n v="1"/>
    <n v="0"/>
  </r>
  <r>
    <s v="Call_8156"/>
    <x v="6"/>
    <n v="147"/>
    <x v="1"/>
    <x v="276"/>
    <n v="68"/>
    <n v="2.1"/>
    <n v="2024"/>
    <x v="0"/>
    <s v="More than 2 hours"/>
    <x v="3"/>
    <x v="2"/>
    <x v="1"/>
    <m/>
    <n v="1"/>
    <n v="0"/>
  </r>
  <r>
    <s v="Call_8157"/>
    <x v="1"/>
    <n v="31"/>
    <x v="4"/>
    <x v="277"/>
    <n v="105"/>
    <n v="3.6"/>
    <n v="2024"/>
    <x v="1"/>
    <s v="30 to 60 mins"/>
    <x v="2"/>
    <x v="0"/>
    <x v="0"/>
    <m/>
    <n v="1"/>
    <n v="0"/>
  </r>
  <r>
    <s v="Call_8158"/>
    <x v="13"/>
    <n v="142"/>
    <x v="0"/>
    <x v="277"/>
    <n v="40"/>
    <n v="3.8"/>
    <n v="2024"/>
    <x v="1"/>
    <s v="More than 2 hours"/>
    <x v="2"/>
    <x v="1"/>
    <x v="0"/>
    <m/>
    <n v="1"/>
    <n v="0"/>
  </r>
  <r>
    <s v="Call_8159"/>
    <x v="9"/>
    <n v="61"/>
    <x v="0"/>
    <x v="277"/>
    <n v="82"/>
    <n v="3.1"/>
    <n v="2024"/>
    <x v="1"/>
    <s v="1 to 2 hours"/>
    <x v="1"/>
    <x v="1"/>
    <x v="1"/>
    <m/>
    <n v="1"/>
    <n v="0"/>
  </r>
  <r>
    <s v="Call_8160"/>
    <x v="0"/>
    <n v="86"/>
    <x v="4"/>
    <x v="278"/>
    <n v="90"/>
    <n v="4.4000000000000004"/>
    <n v="2024"/>
    <x v="2"/>
    <s v="1 to 2 hours"/>
    <x v="2"/>
    <x v="0"/>
    <x v="0"/>
    <m/>
    <n v="1"/>
    <n v="0"/>
  </r>
  <r>
    <s v="Call_8161"/>
    <x v="2"/>
    <n v="165"/>
    <x v="3"/>
    <x v="279"/>
    <n v="66"/>
    <n v="4.8"/>
    <n v="2024"/>
    <x v="3"/>
    <s v="More than 2 hours"/>
    <x v="0"/>
    <x v="1"/>
    <x v="0"/>
    <m/>
    <n v="1"/>
    <n v="1"/>
  </r>
  <r>
    <s v="Call_8162"/>
    <x v="14"/>
    <n v="62"/>
    <x v="1"/>
    <x v="279"/>
    <n v="78"/>
    <n v="3.5"/>
    <n v="2024"/>
    <x v="3"/>
    <s v="1 to 2 hours"/>
    <x v="2"/>
    <x v="2"/>
    <x v="1"/>
    <m/>
    <n v="1"/>
    <n v="0"/>
  </r>
  <r>
    <s v="Call_8163"/>
    <x v="3"/>
    <n v="103"/>
    <x v="3"/>
    <x v="280"/>
    <n v="66"/>
    <n v="4.4000000000000004"/>
    <n v="2024"/>
    <x v="4"/>
    <s v="1 to 2 hours"/>
    <x v="2"/>
    <x v="1"/>
    <x v="1"/>
    <m/>
    <n v="1"/>
    <n v="0"/>
  </r>
  <r>
    <s v="Call_8164"/>
    <x v="13"/>
    <n v="56"/>
    <x v="4"/>
    <x v="281"/>
    <n v="160"/>
    <n v="3.8"/>
    <n v="2024"/>
    <x v="5"/>
    <s v="30 to 60 mins"/>
    <x v="2"/>
    <x v="1"/>
    <x v="0"/>
    <m/>
    <n v="1"/>
    <n v="0"/>
  </r>
  <r>
    <s v="Call_8165"/>
    <x v="12"/>
    <n v="114"/>
    <x v="0"/>
    <x v="282"/>
    <n v="144"/>
    <n v="3.8"/>
    <n v="2024"/>
    <x v="6"/>
    <s v="1 to 2 hours"/>
    <x v="2"/>
    <x v="0"/>
    <x v="1"/>
    <m/>
    <n v="1"/>
    <n v="0"/>
  </r>
  <r>
    <s v="Call_8166"/>
    <x v="13"/>
    <n v="112"/>
    <x v="2"/>
    <x v="282"/>
    <n v="200"/>
    <n v="4.5999999999999996"/>
    <n v="2024"/>
    <x v="6"/>
    <s v="1 to 2 hours"/>
    <x v="0"/>
    <x v="1"/>
    <x v="0"/>
    <m/>
    <n v="1"/>
    <n v="1"/>
  </r>
  <r>
    <s v="Call_8167"/>
    <x v="5"/>
    <n v="52"/>
    <x v="1"/>
    <x v="283"/>
    <n v="220"/>
    <n v="5"/>
    <n v="2024"/>
    <x v="1"/>
    <s v="30 to 60 mins"/>
    <x v="0"/>
    <x v="2"/>
    <x v="1"/>
    <m/>
    <n v="1"/>
    <n v="1"/>
  </r>
  <r>
    <s v="Call_8168"/>
    <x v="3"/>
    <n v="105"/>
    <x v="3"/>
    <x v="284"/>
    <n v="112"/>
    <n v="3.2"/>
    <n v="2024"/>
    <x v="2"/>
    <s v="1 to 2 hours"/>
    <x v="1"/>
    <x v="1"/>
    <x v="1"/>
    <m/>
    <n v="1"/>
    <n v="0"/>
  </r>
  <r>
    <s v="Call_8169"/>
    <x v="2"/>
    <n v="91"/>
    <x v="4"/>
    <x v="284"/>
    <n v="110"/>
    <n v="3.7"/>
    <n v="2024"/>
    <x v="2"/>
    <s v="1 to 2 hours"/>
    <x v="2"/>
    <x v="1"/>
    <x v="0"/>
    <m/>
    <n v="1"/>
    <n v="0"/>
  </r>
  <r>
    <s v="Call_8170"/>
    <x v="11"/>
    <n v="74"/>
    <x v="0"/>
    <x v="285"/>
    <n v="160"/>
    <n v="2.7"/>
    <n v="2024"/>
    <x v="3"/>
    <s v="1 to 2 hours"/>
    <x v="1"/>
    <x v="2"/>
    <x v="1"/>
    <m/>
    <n v="1"/>
    <n v="0"/>
  </r>
  <r>
    <s v="Call_8171"/>
    <x v="11"/>
    <n v="30"/>
    <x v="4"/>
    <x v="285"/>
    <n v="84"/>
    <n v="4"/>
    <n v="2024"/>
    <x v="3"/>
    <s v="10 to 30 mins"/>
    <x v="2"/>
    <x v="2"/>
    <x v="1"/>
    <m/>
    <n v="1"/>
    <n v="0"/>
  </r>
  <r>
    <s v="Call_8172"/>
    <x v="2"/>
    <n v="56"/>
    <x v="1"/>
    <x v="285"/>
    <n v="124"/>
    <n v="2.6"/>
    <n v="2024"/>
    <x v="3"/>
    <s v="30 to 60 mins"/>
    <x v="1"/>
    <x v="1"/>
    <x v="0"/>
    <m/>
    <n v="1"/>
    <n v="0"/>
  </r>
  <r>
    <s v="Call_8173"/>
    <x v="11"/>
    <n v="151"/>
    <x v="2"/>
    <x v="285"/>
    <n v="84"/>
    <n v="4.5999999999999996"/>
    <n v="2024"/>
    <x v="3"/>
    <s v="More than 2 hours"/>
    <x v="0"/>
    <x v="2"/>
    <x v="1"/>
    <m/>
    <n v="1"/>
    <n v="1"/>
  </r>
  <r>
    <s v="Call_8174"/>
    <x v="1"/>
    <n v="108"/>
    <x v="3"/>
    <x v="286"/>
    <n v="130"/>
    <n v="2.7"/>
    <n v="2024"/>
    <x v="4"/>
    <s v="1 to 2 hours"/>
    <x v="1"/>
    <x v="0"/>
    <x v="0"/>
    <m/>
    <n v="1"/>
    <n v="0"/>
  </r>
  <r>
    <s v="Call_8175"/>
    <x v="12"/>
    <n v="124"/>
    <x v="0"/>
    <x v="286"/>
    <n v="215"/>
    <n v="3.5"/>
    <n v="2024"/>
    <x v="4"/>
    <s v="More than 2 hours"/>
    <x v="2"/>
    <x v="0"/>
    <x v="1"/>
    <m/>
    <n v="1"/>
    <n v="0"/>
  </r>
  <r>
    <s v="Call_8176"/>
    <x v="3"/>
    <n v="110"/>
    <x v="1"/>
    <x v="287"/>
    <n v="132"/>
    <n v="3.6"/>
    <n v="2024"/>
    <x v="5"/>
    <s v="1 to 2 hours"/>
    <x v="2"/>
    <x v="1"/>
    <x v="1"/>
    <m/>
    <n v="1"/>
    <n v="0"/>
  </r>
  <r>
    <s v="Call_8177"/>
    <x v="6"/>
    <n v="89"/>
    <x v="3"/>
    <x v="287"/>
    <n v="88"/>
    <n v="4.9000000000000004"/>
    <n v="2024"/>
    <x v="5"/>
    <s v="1 to 2 hours"/>
    <x v="0"/>
    <x v="2"/>
    <x v="1"/>
    <m/>
    <n v="1"/>
    <n v="1"/>
  </r>
  <r>
    <s v="Call_8178"/>
    <x v="0"/>
    <n v="95"/>
    <x v="1"/>
    <x v="287"/>
    <n v="140"/>
    <n v="3.9"/>
    <n v="2024"/>
    <x v="5"/>
    <s v="1 to 2 hours"/>
    <x v="2"/>
    <x v="0"/>
    <x v="0"/>
    <m/>
    <n v="1"/>
    <n v="0"/>
  </r>
  <r>
    <s v="Call_8179"/>
    <x v="11"/>
    <n v="84"/>
    <x v="3"/>
    <x v="288"/>
    <n v="66"/>
    <n v="4.7"/>
    <n v="2024"/>
    <x v="6"/>
    <s v="1 to 2 hours"/>
    <x v="0"/>
    <x v="2"/>
    <x v="1"/>
    <m/>
    <n v="1"/>
    <n v="1"/>
  </r>
  <r>
    <s v="Call_8180"/>
    <x v="8"/>
    <n v="89"/>
    <x v="0"/>
    <x v="288"/>
    <n v="23"/>
    <n v="4.5"/>
    <n v="2024"/>
    <x v="6"/>
    <s v="1 to 2 hours"/>
    <x v="0"/>
    <x v="2"/>
    <x v="0"/>
    <m/>
    <n v="1"/>
    <n v="1"/>
  </r>
  <r>
    <s v="Call_8181"/>
    <x v="6"/>
    <n v="146"/>
    <x v="0"/>
    <x v="289"/>
    <n v="220"/>
    <n v="4.5"/>
    <n v="2024"/>
    <x v="0"/>
    <s v="More than 2 hours"/>
    <x v="0"/>
    <x v="2"/>
    <x v="1"/>
    <m/>
    <n v="1"/>
    <n v="1"/>
  </r>
  <r>
    <s v="Call_8182"/>
    <x v="7"/>
    <n v="62"/>
    <x v="4"/>
    <x v="290"/>
    <n v="175"/>
    <n v="4.4000000000000004"/>
    <n v="2024"/>
    <x v="1"/>
    <s v="1 to 2 hours"/>
    <x v="2"/>
    <x v="2"/>
    <x v="1"/>
    <m/>
    <n v="1"/>
    <n v="0"/>
  </r>
  <r>
    <s v="Call_8183"/>
    <x v="13"/>
    <n v="82"/>
    <x v="0"/>
    <x v="290"/>
    <n v="172"/>
    <n v="4.0999999999999996"/>
    <n v="2024"/>
    <x v="1"/>
    <s v="1 to 2 hours"/>
    <x v="2"/>
    <x v="1"/>
    <x v="0"/>
    <m/>
    <n v="1"/>
    <n v="0"/>
  </r>
  <r>
    <s v="Call_8184"/>
    <x v="9"/>
    <n v="91"/>
    <x v="2"/>
    <x v="290"/>
    <n v="108"/>
    <n v="3.8"/>
    <n v="2024"/>
    <x v="1"/>
    <s v="1 to 2 hours"/>
    <x v="2"/>
    <x v="1"/>
    <x v="1"/>
    <m/>
    <n v="1"/>
    <n v="0"/>
  </r>
  <r>
    <s v="Call_8185"/>
    <x v="8"/>
    <n v="39"/>
    <x v="0"/>
    <x v="291"/>
    <n v="43"/>
    <n v="4.2"/>
    <n v="2024"/>
    <x v="2"/>
    <s v="30 to 60 mins"/>
    <x v="2"/>
    <x v="2"/>
    <x v="0"/>
    <m/>
    <n v="1"/>
    <n v="0"/>
  </r>
  <r>
    <s v="Call_8186"/>
    <x v="6"/>
    <n v="149"/>
    <x v="1"/>
    <x v="291"/>
    <n v="44"/>
    <n v="2.2000000000000002"/>
    <n v="2024"/>
    <x v="2"/>
    <s v="More than 2 hours"/>
    <x v="3"/>
    <x v="2"/>
    <x v="1"/>
    <m/>
    <n v="1"/>
    <n v="0"/>
  </r>
  <r>
    <s v="Call_8187"/>
    <x v="13"/>
    <n v="138"/>
    <x v="4"/>
    <x v="291"/>
    <n v="105"/>
    <n v="3.9"/>
    <n v="2024"/>
    <x v="2"/>
    <s v="More than 2 hours"/>
    <x v="2"/>
    <x v="1"/>
    <x v="0"/>
    <m/>
    <n v="1"/>
    <n v="0"/>
  </r>
  <r>
    <s v="Call_8188"/>
    <x v="7"/>
    <n v="113"/>
    <x v="1"/>
    <x v="292"/>
    <n v="34"/>
    <n v="3.9"/>
    <n v="2024"/>
    <x v="3"/>
    <s v="1 to 2 hours"/>
    <x v="2"/>
    <x v="2"/>
    <x v="1"/>
    <m/>
    <n v="1"/>
    <n v="0"/>
  </r>
  <r>
    <s v="Call_8189"/>
    <x v="4"/>
    <n v="88"/>
    <x v="0"/>
    <x v="292"/>
    <n v="220"/>
    <n v="4.0999999999999996"/>
    <n v="2024"/>
    <x v="3"/>
    <s v="1 to 2 hours"/>
    <x v="2"/>
    <x v="0"/>
    <x v="1"/>
    <m/>
    <n v="1"/>
    <n v="0"/>
  </r>
  <r>
    <s v="Call_8190"/>
    <x v="0"/>
    <n v="64"/>
    <x v="4"/>
    <x v="292"/>
    <n v="225"/>
    <n v="4.5999999999999996"/>
    <n v="2024"/>
    <x v="3"/>
    <s v="1 to 2 hours"/>
    <x v="0"/>
    <x v="0"/>
    <x v="0"/>
    <m/>
    <n v="1"/>
    <n v="1"/>
  </r>
  <r>
    <s v="Call_8191"/>
    <x v="2"/>
    <n v="53"/>
    <x v="4"/>
    <x v="293"/>
    <n v="37"/>
    <n v="4.0999999999999996"/>
    <n v="2024"/>
    <x v="4"/>
    <s v="30 to 60 mins"/>
    <x v="2"/>
    <x v="1"/>
    <x v="0"/>
    <m/>
    <n v="1"/>
    <n v="0"/>
  </r>
  <r>
    <s v="Call_8192"/>
    <x v="12"/>
    <n v="63"/>
    <x v="1"/>
    <x v="293"/>
    <n v="44"/>
    <n v="5"/>
    <n v="2024"/>
    <x v="4"/>
    <s v="1 to 2 hours"/>
    <x v="0"/>
    <x v="0"/>
    <x v="1"/>
    <m/>
    <n v="1"/>
    <n v="1"/>
  </r>
  <r>
    <s v="Call_8193"/>
    <x v="5"/>
    <n v="54"/>
    <x v="1"/>
    <x v="294"/>
    <n v="35"/>
    <n v="2.8"/>
    <n v="2024"/>
    <x v="5"/>
    <s v="30 to 60 mins"/>
    <x v="1"/>
    <x v="2"/>
    <x v="1"/>
    <m/>
    <n v="1"/>
    <n v="0"/>
  </r>
  <r>
    <s v="Call_8194"/>
    <x v="12"/>
    <n v="54"/>
    <x v="0"/>
    <x v="294"/>
    <n v="145"/>
    <n v="2.7"/>
    <n v="2024"/>
    <x v="5"/>
    <s v="30 to 60 mins"/>
    <x v="1"/>
    <x v="0"/>
    <x v="1"/>
    <m/>
    <n v="1"/>
    <n v="0"/>
  </r>
  <r>
    <s v="Call_8195"/>
    <x v="6"/>
    <n v="71"/>
    <x v="4"/>
    <x v="294"/>
    <n v="64"/>
    <n v="3.9"/>
    <n v="2024"/>
    <x v="5"/>
    <s v="1 to 2 hours"/>
    <x v="2"/>
    <x v="2"/>
    <x v="1"/>
    <m/>
    <n v="1"/>
    <n v="0"/>
  </r>
  <r>
    <s v="Call_8196"/>
    <x v="12"/>
    <n v="93"/>
    <x v="0"/>
    <x v="295"/>
    <n v="185"/>
    <n v="4.3"/>
    <n v="2024"/>
    <x v="6"/>
    <s v="1 to 2 hours"/>
    <x v="2"/>
    <x v="0"/>
    <x v="1"/>
    <m/>
    <n v="1"/>
    <n v="0"/>
  </r>
  <r>
    <s v="Call_8197"/>
    <x v="3"/>
    <n v="96"/>
    <x v="1"/>
    <x v="295"/>
    <n v="215"/>
    <n v="2.5"/>
    <n v="2024"/>
    <x v="6"/>
    <s v="1 to 2 hours"/>
    <x v="1"/>
    <x v="1"/>
    <x v="1"/>
    <m/>
    <n v="1"/>
    <n v="0"/>
  </r>
  <r>
    <s v="Call_8198"/>
    <x v="8"/>
    <n v="31"/>
    <x v="2"/>
    <x v="295"/>
    <n v="88"/>
    <n v="3.4"/>
    <n v="2024"/>
    <x v="6"/>
    <s v="30 to 60 mins"/>
    <x v="1"/>
    <x v="2"/>
    <x v="0"/>
    <m/>
    <n v="1"/>
    <n v="0"/>
  </r>
  <r>
    <s v="Call_8199"/>
    <x v="12"/>
    <n v="107"/>
    <x v="4"/>
    <x v="295"/>
    <n v="23"/>
    <n v="3.4"/>
    <n v="2024"/>
    <x v="6"/>
    <s v="1 to 2 hours"/>
    <x v="1"/>
    <x v="0"/>
    <x v="1"/>
    <m/>
    <n v="1"/>
    <n v="0"/>
  </r>
  <r>
    <s v="Call_8200"/>
    <x v="2"/>
    <n v="50"/>
    <x v="2"/>
    <x v="296"/>
    <n v="180"/>
    <n v="1.8"/>
    <n v="2024"/>
    <x v="0"/>
    <s v="30 to 60 mins"/>
    <x v="3"/>
    <x v="1"/>
    <x v="0"/>
    <m/>
    <n v="1"/>
    <n v="0"/>
  </r>
  <r>
    <s v="Call_8201"/>
    <x v="13"/>
    <n v="69"/>
    <x v="4"/>
    <x v="297"/>
    <n v="225"/>
    <n v="3.7"/>
    <n v="2024"/>
    <x v="1"/>
    <s v="1 to 2 hours"/>
    <x v="2"/>
    <x v="1"/>
    <x v="0"/>
    <m/>
    <n v="1"/>
    <n v="0"/>
  </r>
  <r>
    <s v="Call_8202"/>
    <x v="4"/>
    <n v="26"/>
    <x v="1"/>
    <x v="298"/>
    <n v="74"/>
    <n v="4.0999999999999996"/>
    <n v="2024"/>
    <x v="2"/>
    <s v="10 to 30 mins"/>
    <x v="2"/>
    <x v="0"/>
    <x v="1"/>
    <m/>
    <n v="1"/>
    <n v="0"/>
  </r>
  <r>
    <s v="Call_8203"/>
    <x v="3"/>
    <n v="158"/>
    <x v="4"/>
    <x v="298"/>
    <n v="36"/>
    <n v="3"/>
    <n v="2024"/>
    <x v="2"/>
    <s v="More than 2 hours"/>
    <x v="1"/>
    <x v="1"/>
    <x v="1"/>
    <m/>
    <n v="1"/>
    <n v="0"/>
  </r>
  <r>
    <s v="Call_8204"/>
    <x v="5"/>
    <n v="99"/>
    <x v="4"/>
    <x v="299"/>
    <n v="116"/>
    <n v="3.9"/>
    <n v="2024"/>
    <x v="4"/>
    <s v="1 to 2 hours"/>
    <x v="2"/>
    <x v="2"/>
    <x v="1"/>
    <m/>
    <n v="1"/>
    <n v="0"/>
  </r>
  <r>
    <s v="Call_8205"/>
    <x v="3"/>
    <n v="78"/>
    <x v="2"/>
    <x v="299"/>
    <n v="140"/>
    <n v="4"/>
    <n v="2024"/>
    <x v="4"/>
    <s v="1 to 2 hours"/>
    <x v="2"/>
    <x v="1"/>
    <x v="1"/>
    <m/>
    <n v="1"/>
    <n v="0"/>
  </r>
  <r>
    <s v="Call_8206"/>
    <x v="3"/>
    <n v="102"/>
    <x v="1"/>
    <x v="300"/>
    <n v="104"/>
    <n v="4.5"/>
    <n v="2024"/>
    <x v="5"/>
    <s v="1 to 2 hours"/>
    <x v="0"/>
    <x v="1"/>
    <x v="1"/>
    <m/>
    <n v="1"/>
    <n v="1"/>
  </r>
  <r>
    <s v="Call_8207"/>
    <x v="5"/>
    <n v="158"/>
    <x v="3"/>
    <x v="300"/>
    <n v="148"/>
    <n v="4"/>
    <n v="2024"/>
    <x v="5"/>
    <s v="More than 2 hours"/>
    <x v="2"/>
    <x v="2"/>
    <x v="1"/>
    <m/>
    <n v="1"/>
    <n v="0"/>
  </r>
  <r>
    <s v="Call_8208"/>
    <x v="8"/>
    <n v="56"/>
    <x v="4"/>
    <x v="300"/>
    <n v="205"/>
    <n v="4.3"/>
    <n v="2024"/>
    <x v="5"/>
    <s v="30 to 60 mins"/>
    <x v="2"/>
    <x v="2"/>
    <x v="0"/>
    <m/>
    <n v="1"/>
    <n v="0"/>
  </r>
  <r>
    <s v="Call_8209"/>
    <x v="1"/>
    <n v="17"/>
    <x v="0"/>
    <x v="300"/>
    <n v="210"/>
    <n v="4.8"/>
    <n v="2024"/>
    <x v="5"/>
    <s v="10 to 30 mins"/>
    <x v="0"/>
    <x v="0"/>
    <x v="0"/>
    <m/>
    <n v="1"/>
    <n v="1"/>
  </r>
  <r>
    <s v="Call_8210"/>
    <x v="4"/>
    <n v="104"/>
    <x v="3"/>
    <x v="301"/>
    <n v="41"/>
    <n v="4.7"/>
    <n v="2024"/>
    <x v="0"/>
    <s v="1 to 2 hours"/>
    <x v="0"/>
    <x v="0"/>
    <x v="1"/>
    <m/>
    <n v="1"/>
    <n v="1"/>
  </r>
  <r>
    <s v="Call_8211"/>
    <x v="11"/>
    <n v="96"/>
    <x v="2"/>
    <x v="301"/>
    <n v="136"/>
    <n v="5"/>
    <n v="2024"/>
    <x v="0"/>
    <s v="1 to 2 hours"/>
    <x v="0"/>
    <x v="2"/>
    <x v="1"/>
    <m/>
    <n v="1"/>
    <n v="1"/>
  </r>
  <r>
    <s v="Call_8212"/>
    <x v="9"/>
    <n v="83"/>
    <x v="1"/>
    <x v="302"/>
    <n v="126"/>
    <n v="1.5"/>
    <n v="2024"/>
    <x v="1"/>
    <s v="1 to 2 hours"/>
    <x v="3"/>
    <x v="1"/>
    <x v="1"/>
    <m/>
    <n v="1"/>
    <n v="0"/>
  </r>
  <r>
    <s v="Call_8213"/>
    <x v="2"/>
    <n v="80"/>
    <x v="0"/>
    <x v="303"/>
    <n v="148"/>
    <n v="4.0999999999999996"/>
    <n v="2024"/>
    <x v="2"/>
    <s v="1 to 2 hours"/>
    <x v="2"/>
    <x v="1"/>
    <x v="0"/>
    <m/>
    <n v="1"/>
    <n v="0"/>
  </r>
  <r>
    <s v="Call_8214"/>
    <x v="9"/>
    <n v="152"/>
    <x v="1"/>
    <x v="303"/>
    <n v="125"/>
    <n v="3.9"/>
    <n v="2024"/>
    <x v="2"/>
    <s v="More than 2 hours"/>
    <x v="2"/>
    <x v="1"/>
    <x v="1"/>
    <m/>
    <n v="1"/>
    <n v="0"/>
  </r>
  <r>
    <s v="Call_8215"/>
    <x v="6"/>
    <n v="34"/>
    <x v="2"/>
    <x v="303"/>
    <n v="25"/>
    <n v="4.0999999999999996"/>
    <n v="2024"/>
    <x v="2"/>
    <s v="30 to 60 mins"/>
    <x v="2"/>
    <x v="2"/>
    <x v="1"/>
    <m/>
    <n v="1"/>
    <n v="0"/>
  </r>
  <r>
    <s v="Call_8216"/>
    <x v="7"/>
    <n v="2"/>
    <x v="4"/>
    <x v="304"/>
    <n v="62"/>
    <n v="2.8"/>
    <n v="2024"/>
    <x v="3"/>
    <s v="Under 10 mins"/>
    <x v="1"/>
    <x v="2"/>
    <x v="1"/>
    <m/>
    <n v="1"/>
    <n v="0"/>
  </r>
  <r>
    <s v="Call_8217"/>
    <x v="2"/>
    <n v="140"/>
    <x v="2"/>
    <x v="305"/>
    <n v="90"/>
    <n v="4.5999999999999996"/>
    <n v="2024"/>
    <x v="4"/>
    <s v="More than 2 hours"/>
    <x v="0"/>
    <x v="1"/>
    <x v="0"/>
    <m/>
    <n v="1"/>
    <n v="1"/>
  </r>
  <r>
    <s v="Call_8218"/>
    <x v="1"/>
    <n v="126"/>
    <x v="3"/>
    <x v="306"/>
    <n v="33"/>
    <n v="4.8"/>
    <n v="2024"/>
    <x v="5"/>
    <s v="More than 2 hours"/>
    <x v="0"/>
    <x v="0"/>
    <x v="0"/>
    <m/>
    <n v="1"/>
    <n v="1"/>
  </r>
  <r>
    <s v="Call_8219"/>
    <x v="3"/>
    <n v="79"/>
    <x v="4"/>
    <x v="306"/>
    <n v="115"/>
    <n v="2.2999999999999998"/>
    <n v="2024"/>
    <x v="5"/>
    <s v="1 to 2 hours"/>
    <x v="3"/>
    <x v="1"/>
    <x v="1"/>
    <m/>
    <n v="1"/>
    <n v="0"/>
  </r>
  <r>
    <s v="Call_8220"/>
    <x v="1"/>
    <n v="133"/>
    <x v="3"/>
    <x v="306"/>
    <n v="45"/>
    <n v="2.6"/>
    <n v="2024"/>
    <x v="5"/>
    <s v="More than 2 hours"/>
    <x v="1"/>
    <x v="0"/>
    <x v="0"/>
    <m/>
    <n v="1"/>
    <n v="0"/>
  </r>
  <r>
    <s v="Call_8221"/>
    <x v="6"/>
    <n v="97"/>
    <x v="0"/>
    <x v="306"/>
    <n v="114"/>
    <n v="4.8"/>
    <n v="2024"/>
    <x v="5"/>
    <s v="1 to 2 hours"/>
    <x v="0"/>
    <x v="2"/>
    <x v="1"/>
    <m/>
    <n v="1"/>
    <n v="1"/>
  </r>
  <r>
    <s v="Call_8222"/>
    <x v="3"/>
    <n v="102"/>
    <x v="1"/>
    <x v="307"/>
    <n v="72"/>
    <n v="3.7"/>
    <n v="2024"/>
    <x v="6"/>
    <s v="1 to 2 hours"/>
    <x v="2"/>
    <x v="1"/>
    <x v="1"/>
    <m/>
    <n v="1"/>
    <n v="0"/>
  </r>
  <r>
    <s v="Call_8223"/>
    <x v="10"/>
    <n v="62"/>
    <x v="0"/>
    <x v="307"/>
    <n v="205"/>
    <n v="4.2"/>
    <n v="2024"/>
    <x v="6"/>
    <s v="1 to 2 hours"/>
    <x v="2"/>
    <x v="1"/>
    <x v="0"/>
    <m/>
    <n v="1"/>
    <n v="0"/>
  </r>
  <r>
    <s v="Call_8224"/>
    <x v="1"/>
    <n v="149"/>
    <x v="1"/>
    <x v="308"/>
    <n v="42"/>
    <n v="3.3"/>
    <n v="2024"/>
    <x v="0"/>
    <s v="More than 2 hours"/>
    <x v="1"/>
    <x v="0"/>
    <x v="0"/>
    <m/>
    <n v="1"/>
    <n v="0"/>
  </r>
  <r>
    <s v="Call_8225"/>
    <x v="7"/>
    <n v="133"/>
    <x v="0"/>
    <x v="308"/>
    <n v="96"/>
    <n v="4.3"/>
    <n v="2024"/>
    <x v="0"/>
    <s v="More than 2 hours"/>
    <x v="2"/>
    <x v="2"/>
    <x v="1"/>
    <m/>
    <n v="1"/>
    <n v="0"/>
  </r>
  <r>
    <s v="Call_8226"/>
    <x v="3"/>
    <n v="51"/>
    <x v="4"/>
    <x v="308"/>
    <n v="64"/>
    <n v="3.7"/>
    <n v="2024"/>
    <x v="0"/>
    <s v="30 to 60 mins"/>
    <x v="2"/>
    <x v="1"/>
    <x v="1"/>
    <m/>
    <n v="1"/>
    <n v="0"/>
  </r>
  <r>
    <s v="Call_8227"/>
    <x v="10"/>
    <n v="110"/>
    <x v="0"/>
    <x v="309"/>
    <n v="72"/>
    <n v="3.7"/>
    <n v="2024"/>
    <x v="1"/>
    <s v="1 to 2 hours"/>
    <x v="2"/>
    <x v="1"/>
    <x v="0"/>
    <m/>
    <n v="1"/>
    <n v="0"/>
  </r>
  <r>
    <s v="Call_8228"/>
    <x v="6"/>
    <n v="38"/>
    <x v="3"/>
    <x v="310"/>
    <n v="27"/>
    <n v="3.1"/>
    <n v="2024"/>
    <x v="2"/>
    <s v="30 to 60 mins"/>
    <x v="1"/>
    <x v="2"/>
    <x v="1"/>
    <m/>
    <n v="1"/>
    <n v="0"/>
  </r>
  <r>
    <s v="Call_8229"/>
    <x v="7"/>
    <n v="78"/>
    <x v="3"/>
    <x v="311"/>
    <n v="200"/>
    <n v="2.4"/>
    <n v="2024"/>
    <x v="4"/>
    <s v="1 to 2 hours"/>
    <x v="3"/>
    <x v="2"/>
    <x v="1"/>
    <m/>
    <n v="1"/>
    <n v="0"/>
  </r>
  <r>
    <s v="Call_8230"/>
    <x v="6"/>
    <n v="25"/>
    <x v="1"/>
    <x v="312"/>
    <n v="93"/>
    <n v="3.5"/>
    <n v="2024"/>
    <x v="5"/>
    <s v="10 to 30 mins"/>
    <x v="2"/>
    <x v="2"/>
    <x v="1"/>
    <m/>
    <n v="1"/>
    <n v="0"/>
  </r>
  <r>
    <s v="Call_8231"/>
    <x v="12"/>
    <n v="50"/>
    <x v="4"/>
    <x v="312"/>
    <n v="54"/>
    <n v="4.3"/>
    <n v="2024"/>
    <x v="5"/>
    <s v="30 to 60 mins"/>
    <x v="2"/>
    <x v="0"/>
    <x v="1"/>
    <m/>
    <n v="1"/>
    <n v="0"/>
  </r>
  <r>
    <s v="Call_8232"/>
    <x v="6"/>
    <n v="103"/>
    <x v="1"/>
    <x v="313"/>
    <n v="72"/>
    <n v="3.4"/>
    <n v="2024"/>
    <x v="6"/>
    <s v="1 to 2 hours"/>
    <x v="1"/>
    <x v="2"/>
    <x v="1"/>
    <m/>
    <n v="1"/>
    <n v="0"/>
  </r>
  <r>
    <s v="Call_8233"/>
    <x v="9"/>
    <n v="63"/>
    <x v="2"/>
    <x v="313"/>
    <n v="82"/>
    <n v="3.7"/>
    <n v="2024"/>
    <x v="6"/>
    <s v="1 to 2 hours"/>
    <x v="2"/>
    <x v="1"/>
    <x v="1"/>
    <m/>
    <n v="1"/>
    <n v="0"/>
  </r>
  <r>
    <s v="Call_8234"/>
    <x v="12"/>
    <n v="96"/>
    <x v="4"/>
    <x v="314"/>
    <n v="164"/>
    <n v="4.8"/>
    <n v="2024"/>
    <x v="3"/>
    <s v="1 to 2 hours"/>
    <x v="0"/>
    <x v="0"/>
    <x v="1"/>
    <m/>
    <n v="1"/>
    <n v="1"/>
  </r>
  <r>
    <s v="Call_8235"/>
    <x v="2"/>
    <n v="94"/>
    <x v="1"/>
    <x v="314"/>
    <n v="78"/>
    <n v="3.3"/>
    <n v="2024"/>
    <x v="3"/>
    <s v="1 to 2 hours"/>
    <x v="1"/>
    <x v="1"/>
    <x v="0"/>
    <m/>
    <n v="1"/>
    <n v="0"/>
  </r>
  <r>
    <s v="Call_8236"/>
    <x v="10"/>
    <n v="46"/>
    <x v="3"/>
    <x v="315"/>
    <n v="135"/>
    <n v="4.2"/>
    <n v="2024"/>
    <x v="4"/>
    <s v="30 to 60 mins"/>
    <x v="2"/>
    <x v="1"/>
    <x v="0"/>
    <m/>
    <n v="1"/>
    <n v="0"/>
  </r>
  <r>
    <s v="Call_8237"/>
    <x v="14"/>
    <n v="127"/>
    <x v="4"/>
    <x v="316"/>
    <n v="145"/>
    <n v="2.6"/>
    <n v="2024"/>
    <x v="5"/>
    <s v="More than 2 hours"/>
    <x v="1"/>
    <x v="2"/>
    <x v="1"/>
    <m/>
    <n v="1"/>
    <n v="0"/>
  </r>
  <r>
    <s v="Call_8238"/>
    <x v="5"/>
    <n v="96"/>
    <x v="3"/>
    <x v="316"/>
    <n v="115"/>
    <n v="4.9000000000000004"/>
    <n v="2024"/>
    <x v="5"/>
    <s v="1 to 2 hours"/>
    <x v="0"/>
    <x v="2"/>
    <x v="1"/>
    <m/>
    <n v="1"/>
    <n v="1"/>
  </r>
  <r>
    <s v="Call_8239"/>
    <x v="13"/>
    <n v="151"/>
    <x v="1"/>
    <x v="316"/>
    <n v="117"/>
    <n v="2"/>
    <n v="2024"/>
    <x v="5"/>
    <s v="More than 2 hours"/>
    <x v="3"/>
    <x v="1"/>
    <x v="0"/>
    <m/>
    <n v="1"/>
    <n v="0"/>
  </r>
  <r>
    <s v="Call_8240"/>
    <x v="14"/>
    <n v="158"/>
    <x v="0"/>
    <x v="317"/>
    <n v="36"/>
    <n v="4.7"/>
    <n v="2024"/>
    <x v="6"/>
    <s v="More than 2 hours"/>
    <x v="0"/>
    <x v="2"/>
    <x v="1"/>
    <m/>
    <n v="1"/>
    <n v="1"/>
  </r>
  <r>
    <s v="Call_8241"/>
    <x v="2"/>
    <n v="45"/>
    <x v="0"/>
    <x v="317"/>
    <n v="84"/>
    <n v="2.8"/>
    <n v="2024"/>
    <x v="6"/>
    <s v="30 to 60 mins"/>
    <x v="1"/>
    <x v="1"/>
    <x v="0"/>
    <m/>
    <n v="1"/>
    <n v="0"/>
  </r>
  <r>
    <s v="Call_8242"/>
    <x v="8"/>
    <n v="141"/>
    <x v="0"/>
    <x v="317"/>
    <n v="66"/>
    <n v="3.2"/>
    <n v="2024"/>
    <x v="6"/>
    <s v="More than 2 hours"/>
    <x v="1"/>
    <x v="2"/>
    <x v="0"/>
    <m/>
    <n v="1"/>
    <n v="0"/>
  </r>
  <r>
    <s v="Call_8243"/>
    <x v="6"/>
    <n v="147"/>
    <x v="3"/>
    <x v="317"/>
    <n v="76"/>
    <n v="4.7"/>
    <n v="2024"/>
    <x v="6"/>
    <s v="More than 2 hours"/>
    <x v="0"/>
    <x v="2"/>
    <x v="1"/>
    <m/>
    <n v="1"/>
    <n v="1"/>
  </r>
  <r>
    <s v="Call_8244"/>
    <x v="11"/>
    <n v="126"/>
    <x v="3"/>
    <x v="317"/>
    <n v="185"/>
    <n v="4.8"/>
    <n v="2024"/>
    <x v="6"/>
    <s v="More than 2 hours"/>
    <x v="0"/>
    <x v="2"/>
    <x v="1"/>
    <m/>
    <n v="1"/>
    <n v="1"/>
  </r>
  <r>
    <s v="Call_8245"/>
    <x v="2"/>
    <n v="126"/>
    <x v="2"/>
    <x v="318"/>
    <n v="80"/>
    <n v="4.7"/>
    <n v="2024"/>
    <x v="0"/>
    <s v="More than 2 hours"/>
    <x v="0"/>
    <x v="1"/>
    <x v="0"/>
    <m/>
    <n v="1"/>
    <n v="1"/>
  </r>
  <r>
    <s v="Call_8246"/>
    <x v="7"/>
    <n v="32"/>
    <x v="3"/>
    <x v="318"/>
    <n v="148"/>
    <n v="4"/>
    <n v="2024"/>
    <x v="0"/>
    <s v="30 to 60 mins"/>
    <x v="2"/>
    <x v="2"/>
    <x v="1"/>
    <m/>
    <n v="1"/>
    <n v="0"/>
  </r>
  <r>
    <s v="Call_8247"/>
    <x v="2"/>
    <n v="84"/>
    <x v="4"/>
    <x v="319"/>
    <n v="180"/>
    <n v="4.9000000000000004"/>
    <n v="2024"/>
    <x v="2"/>
    <s v="1 to 2 hours"/>
    <x v="0"/>
    <x v="1"/>
    <x v="0"/>
    <m/>
    <n v="1"/>
    <n v="1"/>
  </r>
  <r>
    <s v="Call_8248"/>
    <x v="9"/>
    <n v="120"/>
    <x v="2"/>
    <x v="320"/>
    <n v="190"/>
    <n v="3.7"/>
    <n v="2024"/>
    <x v="3"/>
    <s v="1 to 2 hours"/>
    <x v="2"/>
    <x v="1"/>
    <x v="1"/>
    <m/>
    <n v="1"/>
    <n v="0"/>
  </r>
  <r>
    <s v="Call_8249"/>
    <x v="4"/>
    <n v="93"/>
    <x v="3"/>
    <x v="320"/>
    <n v="38"/>
    <n v="4.5"/>
    <n v="2024"/>
    <x v="3"/>
    <s v="1 to 2 hours"/>
    <x v="0"/>
    <x v="0"/>
    <x v="1"/>
    <m/>
    <n v="1"/>
    <n v="1"/>
  </r>
  <r>
    <s v="Call_8250"/>
    <x v="5"/>
    <n v="76"/>
    <x v="1"/>
    <x v="321"/>
    <n v="82"/>
    <n v="2.1"/>
    <n v="2024"/>
    <x v="4"/>
    <s v="1 to 2 hours"/>
    <x v="3"/>
    <x v="2"/>
    <x v="1"/>
    <m/>
    <n v="1"/>
    <n v="0"/>
  </r>
  <r>
    <s v="Call_8251"/>
    <x v="14"/>
    <n v="89"/>
    <x v="3"/>
    <x v="322"/>
    <n v="88"/>
    <n v="2.8"/>
    <n v="2024"/>
    <x v="0"/>
    <s v="1 to 2 hours"/>
    <x v="1"/>
    <x v="2"/>
    <x v="1"/>
    <m/>
    <n v="1"/>
    <n v="0"/>
  </r>
  <r>
    <s v="Call_8252"/>
    <x v="3"/>
    <n v="91"/>
    <x v="4"/>
    <x v="322"/>
    <n v="42"/>
    <n v="4.0999999999999996"/>
    <n v="2024"/>
    <x v="0"/>
    <s v="1 to 2 hours"/>
    <x v="2"/>
    <x v="1"/>
    <x v="1"/>
    <m/>
    <n v="1"/>
    <n v="0"/>
  </r>
  <r>
    <s v="Call_8253"/>
    <x v="10"/>
    <n v="7"/>
    <x v="0"/>
    <x v="323"/>
    <n v="64"/>
    <n v="3.3"/>
    <n v="2024"/>
    <x v="1"/>
    <s v="Under 10 mins"/>
    <x v="1"/>
    <x v="1"/>
    <x v="0"/>
    <m/>
    <n v="1"/>
    <n v="0"/>
  </r>
  <r>
    <s v="Call_8254"/>
    <x v="7"/>
    <n v="140"/>
    <x v="0"/>
    <x v="323"/>
    <n v="105"/>
    <n v="1.7"/>
    <n v="2024"/>
    <x v="1"/>
    <s v="More than 2 hours"/>
    <x v="3"/>
    <x v="2"/>
    <x v="1"/>
    <m/>
    <n v="1"/>
    <n v="0"/>
  </r>
  <r>
    <s v="Call_8255"/>
    <x v="1"/>
    <n v="58"/>
    <x v="2"/>
    <x v="323"/>
    <n v="25"/>
    <n v="3.6"/>
    <n v="2024"/>
    <x v="1"/>
    <s v="30 to 60 mins"/>
    <x v="2"/>
    <x v="0"/>
    <x v="0"/>
    <m/>
    <n v="1"/>
    <n v="0"/>
  </r>
  <r>
    <s v="Call_8256"/>
    <x v="0"/>
    <n v="90"/>
    <x v="1"/>
    <x v="324"/>
    <n v="176"/>
    <n v="3.6"/>
    <n v="2024"/>
    <x v="2"/>
    <s v="1 to 2 hours"/>
    <x v="2"/>
    <x v="0"/>
    <x v="0"/>
    <m/>
    <n v="1"/>
    <n v="0"/>
  </r>
  <r>
    <s v="Call_8257"/>
    <x v="0"/>
    <n v="106"/>
    <x v="3"/>
    <x v="325"/>
    <n v="46"/>
    <n v="4.5999999999999996"/>
    <n v="2024"/>
    <x v="3"/>
    <s v="1 to 2 hours"/>
    <x v="0"/>
    <x v="0"/>
    <x v="0"/>
    <m/>
    <n v="1"/>
    <n v="1"/>
  </r>
  <r>
    <s v="Call_8258"/>
    <x v="9"/>
    <n v="72"/>
    <x v="0"/>
    <x v="325"/>
    <n v="164"/>
    <n v="4.8"/>
    <n v="2024"/>
    <x v="3"/>
    <s v="1 to 2 hours"/>
    <x v="0"/>
    <x v="1"/>
    <x v="1"/>
    <m/>
    <n v="1"/>
    <n v="1"/>
  </r>
  <r>
    <s v="Call_8259"/>
    <x v="10"/>
    <n v="124"/>
    <x v="0"/>
    <x v="326"/>
    <n v="64"/>
    <n v="4.5"/>
    <n v="2024"/>
    <x v="4"/>
    <s v="More than 2 hours"/>
    <x v="0"/>
    <x v="1"/>
    <x v="0"/>
    <m/>
    <n v="1"/>
    <n v="1"/>
  </r>
  <r>
    <s v="Call_8260"/>
    <x v="8"/>
    <n v="86"/>
    <x v="4"/>
    <x v="326"/>
    <n v="205"/>
    <n v="4.5"/>
    <n v="2024"/>
    <x v="4"/>
    <s v="1 to 2 hours"/>
    <x v="0"/>
    <x v="2"/>
    <x v="0"/>
    <m/>
    <n v="1"/>
    <n v="1"/>
  </r>
  <r>
    <s v="Call_8261"/>
    <x v="2"/>
    <n v="164"/>
    <x v="4"/>
    <x v="327"/>
    <n v="100"/>
    <n v="4.5999999999999996"/>
    <n v="2024"/>
    <x v="5"/>
    <s v="More than 2 hours"/>
    <x v="0"/>
    <x v="1"/>
    <x v="0"/>
    <m/>
    <n v="1"/>
    <n v="1"/>
  </r>
  <r>
    <s v="Call_8262"/>
    <x v="4"/>
    <n v="40"/>
    <x v="1"/>
    <x v="327"/>
    <n v="111"/>
    <n v="4.5999999999999996"/>
    <n v="2024"/>
    <x v="5"/>
    <s v="30 to 60 mins"/>
    <x v="0"/>
    <x v="0"/>
    <x v="1"/>
    <m/>
    <n v="1"/>
    <n v="1"/>
  </r>
  <r>
    <s v="Call_8263"/>
    <x v="3"/>
    <n v="76"/>
    <x v="2"/>
    <x v="327"/>
    <n v="80"/>
    <n v="3.5"/>
    <n v="2024"/>
    <x v="5"/>
    <s v="1 to 2 hours"/>
    <x v="2"/>
    <x v="1"/>
    <x v="1"/>
    <m/>
    <n v="1"/>
    <n v="0"/>
  </r>
  <r>
    <s v="Call_8264"/>
    <x v="10"/>
    <n v="95"/>
    <x v="3"/>
    <x v="327"/>
    <n v="50"/>
    <n v="2.9"/>
    <n v="2024"/>
    <x v="5"/>
    <s v="1 to 2 hours"/>
    <x v="1"/>
    <x v="1"/>
    <x v="0"/>
    <m/>
    <n v="1"/>
    <n v="0"/>
  </r>
  <r>
    <s v="Call_8265"/>
    <x v="3"/>
    <n v="113"/>
    <x v="0"/>
    <x v="328"/>
    <n v="165"/>
    <n v="4.7"/>
    <n v="2024"/>
    <x v="6"/>
    <s v="1 to 2 hours"/>
    <x v="0"/>
    <x v="1"/>
    <x v="1"/>
    <m/>
    <n v="1"/>
    <n v="1"/>
  </r>
  <r>
    <s v="Call_8266"/>
    <x v="8"/>
    <n v="81"/>
    <x v="0"/>
    <x v="328"/>
    <n v="28"/>
    <n v="3.9"/>
    <n v="2024"/>
    <x v="6"/>
    <s v="1 to 2 hours"/>
    <x v="2"/>
    <x v="2"/>
    <x v="0"/>
    <m/>
    <n v="1"/>
    <n v="0"/>
  </r>
  <r>
    <s v="Call_8267"/>
    <x v="5"/>
    <n v="127"/>
    <x v="3"/>
    <x v="328"/>
    <n v="215"/>
    <n v="3.8"/>
    <n v="2024"/>
    <x v="6"/>
    <s v="More than 2 hours"/>
    <x v="2"/>
    <x v="2"/>
    <x v="1"/>
    <m/>
    <n v="1"/>
    <n v="0"/>
  </r>
  <r>
    <s v="Call_8268"/>
    <x v="7"/>
    <n v="146"/>
    <x v="0"/>
    <x v="329"/>
    <n v="115"/>
    <n v="2.2999999999999998"/>
    <n v="2024"/>
    <x v="0"/>
    <s v="More than 2 hours"/>
    <x v="3"/>
    <x v="2"/>
    <x v="1"/>
    <m/>
    <n v="1"/>
    <n v="0"/>
  </r>
  <r>
    <s v="Call_8269"/>
    <x v="6"/>
    <n v="123"/>
    <x v="0"/>
    <x v="329"/>
    <n v="64"/>
    <n v="3.7"/>
    <n v="2024"/>
    <x v="0"/>
    <s v="More than 2 hours"/>
    <x v="2"/>
    <x v="2"/>
    <x v="1"/>
    <m/>
    <n v="1"/>
    <n v="0"/>
  </r>
  <r>
    <s v="Call_8270"/>
    <x v="9"/>
    <n v="114"/>
    <x v="2"/>
    <x v="329"/>
    <n v="40"/>
    <n v="3.9"/>
    <n v="2024"/>
    <x v="0"/>
    <s v="1 to 2 hours"/>
    <x v="2"/>
    <x v="1"/>
    <x v="1"/>
    <m/>
    <n v="1"/>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C0001"/>
    <s v="Male"/>
    <n v="41"/>
    <s v="Columbus"/>
  </r>
  <r>
    <s v="C0002"/>
    <s v="Male"/>
    <n v="31"/>
    <s v="Cleveland"/>
  </r>
  <r>
    <s v="C0003"/>
    <s v="Male"/>
    <n v="26"/>
    <s v="Cincinnati"/>
  </r>
  <r>
    <s v="C0004"/>
    <s v="Male"/>
    <n v="36"/>
    <s v="Cincinnati"/>
  </r>
  <r>
    <s v="C0005"/>
    <s v="Male"/>
    <n v="37"/>
    <s v="Columbus"/>
  </r>
  <r>
    <s v="C0006"/>
    <s v="Male"/>
    <n v="23"/>
    <s v="Columbus"/>
  </r>
  <r>
    <s v="C0007"/>
    <s v="Female"/>
    <n v="22"/>
    <s v="Cleveland"/>
  </r>
  <r>
    <s v="C0008"/>
    <s v="Female"/>
    <n v="42"/>
    <s v="Cleveland"/>
  </r>
  <r>
    <s v="C0009"/>
    <s v="Female"/>
    <n v="25"/>
    <s v="Columbus"/>
  </r>
  <r>
    <s v="C0010"/>
    <s v="Female"/>
    <n v="30"/>
    <s v="Cleveland"/>
  </r>
  <r>
    <s v="C0011"/>
    <s v="Female"/>
    <n v="30"/>
    <s v="Cincinnati"/>
  </r>
  <r>
    <s v="C0012"/>
    <s v="Female"/>
    <n v="28"/>
    <s v="Cincinnati"/>
  </r>
  <r>
    <s v="C0013"/>
    <s v="Female"/>
    <n v="37"/>
    <s v="Cleveland"/>
  </r>
  <r>
    <s v="C0014"/>
    <s v="Female"/>
    <n v="38"/>
    <s v="Columbus"/>
  </r>
  <r>
    <s v="C0015"/>
    <s v="Female"/>
    <n v="43"/>
    <s v="Clevela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7BE833-9125-F64E-87C5-A4312EEE24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8">
    <pivotField showAll="0"/>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ED2635-C3D4-1640-B0FB-16A785361BB8}" name="PivotTable4"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C20" firstHeaderRow="1" firstDataRow="1" firstDataCol="0"/>
  <pivotFields count="4">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2387F4-AE4B-894B-9695-BFE065DC32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85:G90" firstHeaderRow="1" firstDataRow="2" firstDataCol="1"/>
  <pivotFields count="18">
    <pivotField showAll="0"/>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5">
        <item x="0"/>
        <item x="2"/>
        <item x="1"/>
        <item m="1" x="3"/>
        <item t="default"/>
      </items>
    </pivotField>
    <pivotField axis="axisCol" showAll="0">
      <items count="4">
        <item x="1"/>
        <item x="0"/>
        <item m="1" x="2"/>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4">
    <i>
      <x/>
    </i>
    <i>
      <x v="1"/>
    </i>
    <i>
      <x v="2"/>
    </i>
    <i t="grand">
      <x/>
    </i>
  </rowItems>
  <colFields count="1">
    <field x="12"/>
  </colFields>
  <colItems count="3">
    <i>
      <x/>
    </i>
    <i>
      <x v="1"/>
    </i>
    <i t="grand">
      <x/>
    </i>
  </colItems>
  <dataFields count="1">
    <dataField name="Sum of call count" fld="14" baseField="0" baseItem="0"/>
  </dataFields>
  <chartFormats count="3">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2" format="6">
      <pivotArea type="data" outline="0" fieldPosition="0">
        <references count="3">
          <reference field="4294967294" count="1" selected="0">
            <x v="0"/>
          </reference>
          <reference field="11"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9F0990-AB8F-AD4E-B405-B4BDDBFD12D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81:A82" firstHeaderRow="1" firstDataRow="1" firstDataCol="1"/>
  <pivotFields count="18">
    <pivotField showAll="0" defaultSubtotal="0"/>
    <pivotField showAll="0" defaultSubtotal="0"/>
    <pivotField showAll="0" defaultSubtotal="0"/>
    <pivotField axis="axisRow" showAll="0" defaultSubtotal="0">
      <items count="5">
        <item x="2"/>
        <item h="1" x="1"/>
        <item h="1" x="4"/>
        <item h="1" x="3"/>
        <item h="1" x="0"/>
      </items>
    </pivotField>
    <pivotField numFmtId="164"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
    <i>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02B15D-C083-624D-9B52-B5F032087298}" name="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C30" firstHeaderRow="0" firstDataRow="1" firstDataCol="1"/>
  <pivotFields count="18">
    <pivotField showAll="0"/>
    <pivotField showAll="0"/>
    <pivotField showAll="0"/>
    <pivotField showAll="0">
      <items count="6">
        <item x="2"/>
        <item h="1" x="1"/>
        <item h="1" x="4"/>
        <item h="1" x="3"/>
        <item h="1"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 count" fld="14" baseField="0" baseItem="0"/>
    <dataField name="Sum of call count2" fld="14" baseField="0" baseItem="0"/>
  </dataFields>
  <chartFormats count="4">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7" count="1" selected="0">
            <x v="8"/>
          </reference>
        </references>
      </pivotArea>
    </chartFormat>
    <chartFormat chart="2" format="7">
      <pivotArea type="data" outline="0" fieldPosition="0">
        <references count="2">
          <reference field="4294967294" count="1" selected="0">
            <x v="0"/>
          </reference>
          <reference field="1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E67EEF-2234-7E46-BF70-0B0E74695E60}" name="reps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C56" firstHeaderRow="0" firstDataRow="1" firstDataCol="1"/>
  <pivotFields count="18">
    <pivotField showAll="0"/>
    <pivotField showAll="0"/>
    <pivotField showAll="0"/>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2"/>
  </colFields>
  <colItems count="2">
    <i>
      <x/>
    </i>
    <i i="1">
      <x v="1"/>
    </i>
  </colItems>
  <dataFields count="2">
    <dataField name="Sum of call count" fld="14" baseField="0" baseItem="0"/>
    <dataField name="Sum of Purchase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8B1758-59EF-F74A-8C47-A943279965C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107:J126" firstHeaderRow="1" firstDataRow="2" firstDataCol="1"/>
  <pivotFields count="18">
    <pivotField showAll="0" defaultSubtotal="0"/>
    <pivotField axis="axisRow" showAll="0" defaultSubtotal="0">
      <items count="15">
        <item x="13"/>
        <item x="8"/>
        <item x="0"/>
        <item x="1"/>
        <item x="2"/>
        <item x="10"/>
        <item x="5"/>
        <item x="14"/>
        <item x="9"/>
        <item x="6"/>
        <item x="4"/>
        <item x="12"/>
        <item x="7"/>
        <item x="3"/>
        <item x="11"/>
      </items>
    </pivotField>
    <pivotField showAll="0" defaultSubtotal="0"/>
    <pivotField axis="axisCol" showAll="0" defaultSubtotal="0">
      <items count="5">
        <item x="2"/>
        <item x="1"/>
        <item x="4"/>
        <item x="3"/>
        <item x="0"/>
      </items>
    </pivotField>
    <pivotField numFmtId="164"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dataField="1" showAll="0" defaultSubtotal="0"/>
    <pivotField showAll="0" defaultSubtotal="0"/>
    <pivotField showAll="0" defaultSubtotal="0"/>
    <pivotField showAll="0" defaultSubtotal="0"/>
    <pivotField showAll="0" defaultSubtotal="0"/>
    <pivotField showAll="0" defaultSubtotal="0">
      <items count="6">
        <item x="4"/>
        <item x="5"/>
        <item x="3"/>
        <item x="1"/>
        <item x="2"/>
        <item x="0"/>
      </items>
    </pivotField>
    <pivotField axis="axisRow" showAll="0" defaultSubtotal="0">
      <items count="4">
        <item x="0"/>
        <item x="2"/>
        <item x="1"/>
        <item m="1" x="3"/>
      </items>
    </pivotField>
    <pivotField showAll="0" defaultSubtotal="0">
      <items count="3">
        <item x="1"/>
        <item x="0"/>
        <item m="1" x="2"/>
      </items>
    </pivotField>
    <pivotField showAll="0" defaultSubtotal="0"/>
    <pivotField showAll="0" defaultSubtotal="0"/>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2">
    <field x="11"/>
    <field x="1"/>
  </rowFields>
  <rowItems count="18">
    <i>
      <x/>
    </i>
    <i r="1">
      <x v="2"/>
    </i>
    <i r="1">
      <x v="3"/>
    </i>
    <i r="1">
      <x v="10"/>
    </i>
    <i r="1">
      <x v="11"/>
    </i>
    <i>
      <x v="1"/>
    </i>
    <i r="1">
      <x v="1"/>
    </i>
    <i r="1">
      <x v="6"/>
    </i>
    <i r="1">
      <x v="7"/>
    </i>
    <i r="1">
      <x v="9"/>
    </i>
    <i r="1">
      <x v="12"/>
    </i>
    <i r="1">
      <x v="14"/>
    </i>
    <i>
      <x v="2"/>
    </i>
    <i r="1">
      <x/>
    </i>
    <i r="1">
      <x v="4"/>
    </i>
    <i r="1">
      <x v="5"/>
    </i>
    <i r="1">
      <x v="8"/>
    </i>
    <i r="1">
      <x v="13"/>
    </i>
  </rowItems>
  <colFields count="1">
    <field x="3"/>
  </colFields>
  <colItems count="6">
    <i>
      <x/>
    </i>
    <i>
      <x v="1"/>
    </i>
    <i>
      <x v="2"/>
    </i>
    <i>
      <x v="3"/>
    </i>
    <i>
      <x v="4"/>
    </i>
    <i t="grand">
      <x/>
    </i>
  </colItems>
  <dataFields count="1">
    <dataField name="Sum of Purchase Amount" fld="5" baseField="0" baseItem="0" numFmtId="165"/>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57CD9C-6D13-0647-86C6-C2C03928AEDF}"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dataField="1" showAll="0"/>
    <pivotField showAll="0"/>
    <pivotField showAll="0"/>
    <pivotField showAll="0"/>
    <pivotField showAll="0"/>
    <pivotField showAll="0"/>
    <pivotField showAll="0"/>
    <pivotField showAll="0"/>
    <pivotField name="call count2"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all count" fld="0" subtotal="count" baseField="0" baseItem="0"/>
    <dataField name="Total amount" fld="5" baseField="0" baseItem="0" numFmtId="165"/>
    <dataField name="Sum of Duration" fld="2" baseField="0" baseItem="0"/>
    <dataField name="Avg Satisfaction Rating" fld="6" subtotal="average" baseField="0" baseItem="0" numFmtId="1"/>
    <dataField name="Sum of 5 star"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7B6DB9-D02E-2746-A504-F3D180FDF31E}"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8" firstHeaderRow="0" firstDataRow="0" firstDataCol="0"/>
  <pivotFields count="18">
    <pivotField showAll="0"/>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426125-93D6-D24B-A543-A8A130BDD5DC}" name="rep 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97:E103" firstHeaderRow="1" firstDataRow="1" firstDataCol="1"/>
  <pivotFields count="18">
    <pivotField showAll="0"/>
    <pivotField showAll="0"/>
    <pivotField showAll="0"/>
    <pivotField showAll="0">
      <items count="6">
        <item x="2"/>
        <item h="1"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axis="axisRow" showAll="0">
      <items count="7">
        <item x="4"/>
        <item x="5"/>
        <item x="3"/>
        <item x="1"/>
        <item x="2"/>
        <item x="0"/>
        <item t="default"/>
      </items>
    </pivotField>
    <pivotField showAll="0">
      <items count="5">
        <item x="0"/>
        <item x="2"/>
        <item x="1"/>
        <item m="1" x="3"/>
        <item t="default"/>
      </items>
    </pivotField>
    <pivotField showAll="0">
      <items count="4">
        <item x="1"/>
        <item x="0"/>
        <item m="1" x="2"/>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6">
    <i>
      <x v="1"/>
    </i>
    <i>
      <x v="2"/>
    </i>
    <i>
      <x v="3"/>
    </i>
    <i>
      <x v="4"/>
    </i>
    <i>
      <x v="5"/>
    </i>
    <i t="grand">
      <x/>
    </i>
  </rowItems>
  <colItems count="1">
    <i/>
  </colItems>
  <dataFields count="1">
    <dataField name="Sum of call count" fld="1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BC950D-9C93-754F-8104-D4B5B60DB7F9}" name="rep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E11" firstHeaderRow="0" firstDataRow="1" firstDataCol="0"/>
  <pivotFields count="18">
    <pivotField dataField="1" showAll="0"/>
    <pivotField showAll="0"/>
    <pivotField dataField="1" showAll="0"/>
    <pivotField showAll="0">
      <items count="6">
        <item x="2"/>
        <item h="1"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dataField="1" showAll="0"/>
    <pivotField showAll="0"/>
    <pivotField showAll="0"/>
    <pivotField showAll="0"/>
    <pivotField showAll="0"/>
    <pivotField showAll="0"/>
    <pivotField showAll="0"/>
    <pivotField showAll="0"/>
    <pivotField name="call count2"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all count" fld="0" subtotal="count" baseField="0" baseItem="0"/>
    <dataField name="Total amount" fld="5" baseField="0" baseItem="0" numFmtId="165"/>
    <dataField name="Sum of Duration" fld="2" baseField="0" baseItem="0"/>
    <dataField name="Avg Satisfaction Rating" fld="6" subtotal="average" baseField="0" baseItem="0" numFmtId="1"/>
    <dataField name="Sum of 5 star"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8AB52F-AB73-BE40-94CE-6F1818E366D2}" name="wee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9:H27" firstHeaderRow="1" firstDataRow="1" firstDataCol="1"/>
  <pivotFields count="18">
    <pivotField showAll="0"/>
    <pivotField showAll="0"/>
    <pivotField showAll="0"/>
    <pivotField showAll="0">
      <items count="6">
        <item x="2"/>
        <item h="1"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Row" showAll="0" sortType="ascending">
      <items count="8">
        <item x="0"/>
        <item x="1"/>
        <item x="2"/>
        <item x="3"/>
        <item x="4"/>
        <item x="5"/>
        <item x="6"/>
        <item t="default"/>
      </items>
    </pivotField>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8">
    <i>
      <x/>
    </i>
    <i>
      <x v="1"/>
    </i>
    <i>
      <x v="2"/>
    </i>
    <i>
      <x v="3"/>
    </i>
    <i>
      <x v="4"/>
    </i>
    <i>
      <x v="5"/>
    </i>
    <i>
      <x v="6"/>
    </i>
    <i t="grand">
      <x/>
    </i>
  </rowItems>
  <colItems count="1">
    <i/>
  </colItems>
  <dataFields count="1">
    <dataField name="Sum of call count" fld="1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2</v>
    <v>8</v>
    <v>17</v>
    <v>7</v>
  </rv>
  <rv s="1">
    <v>0</v>
    <v>4</v>
    <v>A person in a skirt and a cardigan
Description automatically generated</v>
  </rv>
  <rv s="1">
    <v>0</v>
    <v>5</v>
    <v>A person in a skirt and a cardigan
Description automatically generated</v>
  </rv>
  <rv s="1">
    <v>1</v>
    <v>5</v>
    <v>A person in a suit and tie
Description automatically generated</v>
  </rv>
  <rv s="1">
    <v>2</v>
    <v>5</v>
    <v>Business woman raising hand</v>
  </rv>
  <rv s="1">
    <v>3</v>
    <v>5</v>
    <v>Young businessman writing on notebook</v>
  </rv>
  <rv s="1">
    <v>4</v>
    <v>5</v>
    <v>Business woman shrugging</v>
  </rv>
</rvData>
</file>

<file path=xl/richData/rdrichvaluestructure.xml><?xml version="1.0" encoding="utf-8"?>
<rvStructures xmlns="http://schemas.microsoft.com/office/spreadsheetml/2017/richdata" count="2">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54FC35A-2A79-AB46-89DB-137650D7E5FF}" sourceName="Representative">
  <pivotTables>
    <pivotTable tabId="8" name="rep pivot"/>
    <pivotTable tabId="8" name="month"/>
    <pivotTable tabId="8" name="week"/>
    <pivotTable tabId="8" name="PivotTable1"/>
    <pivotTable tabId="8" name="rep satisfaction"/>
  </pivotTables>
  <data>
    <tabular pivotCacheId="955368217">
      <items count="5">
        <i x="2" s="1"/>
        <i x="1"/>
        <i x="4"/>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C62AE6F9-E8AE-4D45-AA98-14B6E46ABDA6}" cache="Slicer_Representative" caption="Representativ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Q1003" totalsRowShown="0">
  <autoFilter ref="B3:Q1003" xr:uid="{A3C59B71-D053-4B57-AB1E-899F1C5F06CA}"/>
  <tableColumns count="16">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8"/>
    <tableColumn id="5" xr3:uid="{5A35565E-8707-4DED-AD15-A0669D67B382}" name="Date of Call" dataDxfId="17"/>
    <tableColumn id="6" xr3:uid="{F2E4F158-B41F-47BC-8DF8-DFCADFEE4E40}" name="Purchase Amount"/>
    <tableColumn id="7" xr3:uid="{04B291B5-47BD-4F78-8FD8-D1551CCA6BD9}" name="Satisfaction Rating"/>
    <tableColumn id="8" xr3:uid="{6E4123C0-0B17-43B8-A142-A1E540CE974C}" name="FY" dataDxfId="16">
      <calculatedColumnFormula>IF(MONTH(calls[[#This Row],[Date of Call]])&lt;=6, YEAR(calls[[#This Row],[Date of Call]]), YEAR(calls[[#This Row],[Date of Call]])+1)</calculatedColumnFormula>
    </tableColumn>
    <tableColumn id="9" xr3:uid="{199FA271-5E9B-46CE-9BC6-2801F92CD17E}" name="Day of week" dataDxfId="15">
      <calculatedColumnFormula>TEXT(calls[[#This Row],[Date of Call]],"DDDD")</calculatedColumnFormula>
    </tableColumn>
    <tableColumn id="10" xr3:uid="{328CDB09-95B8-4D5E-9ED9-EF0D363735A1}" name="Duration Bucket" dataDxfId="14">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3">
      <calculatedColumnFormula>ROUND(calls[[#This Row],[Satisfaction Rating]],0)</calculatedColumnFormula>
    </tableColumn>
    <tableColumn id="12" xr3:uid="{EBF8460F-ACC8-CA44-AE4F-20FF4C64F9B7}" name="City" dataDxfId="12">
      <calculatedColumnFormula>_xlfn.XLOOKUP(calls[[#This Row],[Customer ID]],customers[Customer ID],customers[City])</calculatedColumnFormula>
    </tableColumn>
    <tableColumn id="13" xr3:uid="{B7E62004-6AEB-CA4C-9F3C-FB21495B5887}" name="Gedner" dataDxfId="11">
      <calculatedColumnFormula>_xlfn.XLOOKUP(calls[[#This Row],[Customer ID]],customers[Customer ID],customers[Gedner])</calculatedColumnFormula>
    </tableColumn>
    <tableColumn id="14" xr3:uid="{3D61346E-D18A-DB44-B443-216D4EF71AC8}" name="Age" dataDxfId="10"/>
    <tableColumn id="16" xr3:uid="{37EB059C-21B1-BF46-9854-D3D36A21F466}" name="call count" dataDxfId="9">
      <calculatedColumnFormula>IF(calls[[#This Row],[Call number]]&lt;&gt;"",1,0)</calculatedColumnFormula>
    </tableColumn>
    <tableColumn id="15" xr3:uid="{553DCED4-6B19-7645-8DF8-E9E900634E7E}" name="5 star" dataDxfId="8">
      <calculatedColumnFormula>IF(calls[[#This Row],[Rating rounded]]=5,1,0)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R3:U18" totalsRowShown="0" headerRowDxfId="7" headerRowBorderDxfId="6" tableBorderDxfId="5" totalsRowBorderDxfId="4">
  <autoFilter ref="R3:U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BBDD-6C27-824C-A3AE-0B30294A1302}">
  <dimension ref="A3:C20"/>
  <sheetViews>
    <sheetView workbookViewId="0">
      <selection activeCell="A3" sqref="A3"/>
    </sheetView>
  </sheetViews>
  <sheetFormatPr baseColWidth="10" defaultRowHeight="15" x14ac:dyDescent="0.2"/>
  <cols>
    <col min="1" max="1" width="22.33203125" bestFit="1" customWidth="1"/>
  </cols>
  <sheetData>
    <row r="3" spans="1:3" x14ac:dyDescent="0.2">
      <c r="A3" s="20"/>
      <c r="B3" s="21"/>
      <c r="C3" s="22"/>
    </row>
    <row r="4" spans="1:3" x14ac:dyDescent="0.2">
      <c r="A4" s="23"/>
      <c r="B4" s="24"/>
      <c r="C4" s="25"/>
    </row>
    <row r="5" spans="1:3" x14ac:dyDescent="0.2">
      <c r="A5" s="23"/>
      <c r="B5" s="24"/>
      <c r="C5" s="25"/>
    </row>
    <row r="6" spans="1:3" x14ac:dyDescent="0.2">
      <c r="A6" s="23"/>
      <c r="B6" s="24"/>
      <c r="C6" s="25"/>
    </row>
    <row r="7" spans="1:3" x14ac:dyDescent="0.2">
      <c r="A7" s="23"/>
      <c r="B7" s="24"/>
      <c r="C7" s="25"/>
    </row>
    <row r="8" spans="1:3" x14ac:dyDescent="0.2">
      <c r="A8" s="23"/>
      <c r="B8" s="24"/>
      <c r="C8" s="25"/>
    </row>
    <row r="9" spans="1:3" x14ac:dyDescent="0.2">
      <c r="A9" s="23"/>
      <c r="B9" s="24"/>
      <c r="C9" s="25"/>
    </row>
    <row r="10" spans="1:3" x14ac:dyDescent="0.2">
      <c r="A10" s="23"/>
      <c r="B10" s="24"/>
      <c r="C10" s="25"/>
    </row>
    <row r="11" spans="1:3" x14ac:dyDescent="0.2">
      <c r="A11" s="23"/>
      <c r="B11" s="24"/>
      <c r="C11" s="25"/>
    </row>
    <row r="12" spans="1:3" x14ac:dyDescent="0.2">
      <c r="A12" s="23"/>
      <c r="B12" s="24"/>
      <c r="C12" s="25"/>
    </row>
    <row r="13" spans="1:3" x14ac:dyDescent="0.2">
      <c r="A13" s="23"/>
      <c r="B13" s="24"/>
      <c r="C13" s="25"/>
    </row>
    <row r="14" spans="1:3" x14ac:dyDescent="0.2">
      <c r="A14" s="23"/>
      <c r="B14" s="24"/>
      <c r="C14" s="25"/>
    </row>
    <row r="15" spans="1:3" x14ac:dyDescent="0.2">
      <c r="A15" s="23"/>
      <c r="B15" s="24"/>
      <c r="C15" s="25"/>
    </row>
    <row r="16" spans="1:3" x14ac:dyDescent="0.2">
      <c r="A16" s="23"/>
      <c r="B16" s="24"/>
      <c r="C16" s="25"/>
    </row>
    <row r="17" spans="1:3" x14ac:dyDescent="0.2">
      <c r="A17" s="23"/>
      <c r="B17" s="24"/>
      <c r="C17" s="25"/>
    </row>
    <row r="18" spans="1:3" x14ac:dyDescent="0.2">
      <c r="A18" s="23"/>
      <c r="B18" s="24"/>
      <c r="C18" s="25"/>
    </row>
    <row r="19" spans="1:3" x14ac:dyDescent="0.2">
      <c r="A19" s="23"/>
      <c r="B19" s="24"/>
      <c r="C19" s="25"/>
    </row>
    <row r="20" spans="1:3" x14ac:dyDescent="0.2">
      <c r="A20" s="26"/>
      <c r="B20" s="27"/>
      <c r="C20" s="2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67D2-3E9A-5D47-945D-B87ABF7A5526}">
  <dimension ref="A3:C20"/>
  <sheetViews>
    <sheetView workbookViewId="0">
      <selection activeCell="B7" sqref="B7"/>
    </sheetView>
  </sheetViews>
  <sheetFormatPr baseColWidth="10" defaultRowHeight="15" x14ac:dyDescent="0.2"/>
  <sheetData>
    <row r="3" spans="1:3" x14ac:dyDescent="0.2">
      <c r="A3" s="20"/>
      <c r="B3" s="21"/>
      <c r="C3" s="22"/>
    </row>
    <row r="4" spans="1:3" x14ac:dyDescent="0.2">
      <c r="A4" s="23"/>
      <c r="B4" s="24"/>
      <c r="C4" s="25"/>
    </row>
    <row r="5" spans="1:3" x14ac:dyDescent="0.2">
      <c r="A5" s="23"/>
      <c r="B5" s="24"/>
      <c r="C5" s="25"/>
    </row>
    <row r="6" spans="1:3" x14ac:dyDescent="0.2">
      <c r="A6" s="23"/>
      <c r="B6" s="24"/>
      <c r="C6" s="25"/>
    </row>
    <row r="7" spans="1:3" x14ac:dyDescent="0.2">
      <c r="A7" s="23"/>
      <c r="B7" s="24"/>
      <c r="C7" s="25"/>
    </row>
    <row r="8" spans="1:3" x14ac:dyDescent="0.2">
      <c r="A8" s="23"/>
      <c r="B8" s="24"/>
      <c r="C8" s="25"/>
    </row>
    <row r="9" spans="1:3" x14ac:dyDescent="0.2">
      <c r="A9" s="23"/>
      <c r="B9" s="24"/>
      <c r="C9" s="25"/>
    </row>
    <row r="10" spans="1:3" x14ac:dyDescent="0.2">
      <c r="A10" s="23"/>
      <c r="B10" s="24"/>
      <c r="C10" s="25"/>
    </row>
    <row r="11" spans="1:3" x14ac:dyDescent="0.2">
      <c r="A11" s="23"/>
      <c r="B11" s="24"/>
      <c r="C11" s="25"/>
    </row>
    <row r="12" spans="1:3" x14ac:dyDescent="0.2">
      <c r="A12" s="23"/>
      <c r="B12" s="24"/>
      <c r="C12" s="25"/>
    </row>
    <row r="13" spans="1:3" x14ac:dyDescent="0.2">
      <c r="A13" s="23"/>
      <c r="B13" s="24"/>
      <c r="C13" s="25"/>
    </row>
    <row r="14" spans="1:3" x14ac:dyDescent="0.2">
      <c r="A14" s="23"/>
      <c r="B14" s="24"/>
      <c r="C14" s="25"/>
    </row>
    <row r="15" spans="1:3" x14ac:dyDescent="0.2">
      <c r="A15" s="23"/>
      <c r="B15" s="24"/>
      <c r="C15" s="25"/>
    </row>
    <row r="16" spans="1:3" x14ac:dyDescent="0.2">
      <c r="A16" s="23"/>
      <c r="B16" s="24"/>
      <c r="C16" s="25"/>
    </row>
    <row r="17" spans="1:3" x14ac:dyDescent="0.2">
      <c r="A17" s="23"/>
      <c r="B17" s="24"/>
      <c r="C17" s="25"/>
    </row>
    <row r="18" spans="1:3" x14ac:dyDescent="0.2">
      <c r="A18" s="23"/>
      <c r="B18" s="24"/>
      <c r="C18" s="25"/>
    </row>
    <row r="19" spans="1:3" x14ac:dyDescent="0.2">
      <c r="A19" s="23"/>
      <c r="B19" s="24"/>
      <c r="C19" s="25"/>
    </row>
    <row r="20" spans="1:3" x14ac:dyDescent="0.2">
      <c r="A20" s="26"/>
      <c r="B20" s="27"/>
      <c r="C20" s="2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96A3-E5F5-EB4F-9D67-3590656911DE}">
  <dimension ref="A3:J126"/>
  <sheetViews>
    <sheetView workbookViewId="0">
      <selection activeCell="I119" sqref="I119"/>
    </sheetView>
  </sheetViews>
  <sheetFormatPr baseColWidth="10" defaultRowHeight="15" x14ac:dyDescent="0.2"/>
  <cols>
    <col min="1" max="1" width="13" bestFit="1" customWidth="1"/>
    <col min="2" max="2" width="15.33203125" bestFit="1" customWidth="1"/>
    <col min="3" max="3" width="16.5" bestFit="1" customWidth="1"/>
    <col min="4" max="4" width="13" bestFit="1" customWidth="1"/>
    <col min="5" max="5" width="15.33203125" bestFit="1" customWidth="1"/>
    <col min="6" max="6" width="6.6640625" bestFit="1" customWidth="1"/>
    <col min="7" max="7" width="13" bestFit="1" customWidth="1"/>
    <col min="8" max="8" width="15.33203125" bestFit="1" customWidth="1"/>
    <col min="9" max="9" width="13.83203125" customWidth="1"/>
    <col min="10" max="10" width="10.6640625" bestFit="1" customWidth="1"/>
  </cols>
  <sheetData>
    <row r="3" spans="1:5" x14ac:dyDescent="0.2">
      <c r="A3" t="s">
        <v>1042</v>
      </c>
      <c r="B3" t="s">
        <v>1043</v>
      </c>
      <c r="C3" t="s">
        <v>1044</v>
      </c>
      <c r="D3" t="s">
        <v>1045</v>
      </c>
      <c r="E3" t="s">
        <v>1047</v>
      </c>
    </row>
    <row r="4" spans="1:5" x14ac:dyDescent="0.2">
      <c r="A4">
        <v>1000</v>
      </c>
      <c r="B4" s="29">
        <v>96623</v>
      </c>
      <c r="C4">
        <v>89850</v>
      </c>
      <c r="D4" s="30">
        <v>3.8854000000000033</v>
      </c>
      <c r="E4">
        <v>307</v>
      </c>
    </row>
    <row r="10" spans="1:5" x14ac:dyDescent="0.2">
      <c r="A10" t="s">
        <v>1042</v>
      </c>
      <c r="B10" t="s">
        <v>1043</v>
      </c>
      <c r="C10" t="s">
        <v>1044</v>
      </c>
      <c r="D10" t="s">
        <v>1045</v>
      </c>
      <c r="E10" t="s">
        <v>1047</v>
      </c>
    </row>
    <row r="11" spans="1:5" x14ac:dyDescent="0.2">
      <c r="A11" s="41">
        <v>189</v>
      </c>
      <c r="B11" s="29">
        <v>18415</v>
      </c>
      <c r="C11" s="41">
        <v>16834</v>
      </c>
      <c r="D11" s="30">
        <v>3.9227513227513233</v>
      </c>
      <c r="E11" s="41">
        <v>60</v>
      </c>
    </row>
    <row r="17" spans="1:8" x14ac:dyDescent="0.2">
      <c r="A17" s="32" t="s">
        <v>1048</v>
      </c>
      <c r="B17" t="s">
        <v>1062</v>
      </c>
      <c r="C17" t="s">
        <v>1063</v>
      </c>
    </row>
    <row r="18" spans="1:8" x14ac:dyDescent="0.2">
      <c r="A18" s="33" t="s">
        <v>1050</v>
      </c>
      <c r="B18" s="41">
        <v>16</v>
      </c>
      <c r="C18" s="41">
        <v>16</v>
      </c>
    </row>
    <row r="19" spans="1:8" x14ac:dyDescent="0.2">
      <c r="A19" s="33" t="s">
        <v>1051</v>
      </c>
      <c r="B19" s="41">
        <v>14</v>
      </c>
      <c r="C19" s="41">
        <v>14</v>
      </c>
      <c r="G19" s="32" t="s">
        <v>1048</v>
      </c>
      <c r="H19" t="s">
        <v>1062</v>
      </c>
    </row>
    <row r="20" spans="1:8" x14ac:dyDescent="0.2">
      <c r="A20" s="33" t="s">
        <v>1052</v>
      </c>
      <c r="B20" s="41">
        <v>26</v>
      </c>
      <c r="C20" s="41">
        <v>26</v>
      </c>
      <c r="G20" s="33" t="s">
        <v>1064</v>
      </c>
      <c r="H20" s="41">
        <v>36</v>
      </c>
    </row>
    <row r="21" spans="1:8" x14ac:dyDescent="0.2">
      <c r="A21" s="33" t="s">
        <v>1053</v>
      </c>
      <c r="B21" s="41">
        <v>29</v>
      </c>
      <c r="C21" s="41">
        <v>29</v>
      </c>
      <c r="G21" s="33" t="s">
        <v>1065</v>
      </c>
      <c r="H21" s="41">
        <v>30</v>
      </c>
    </row>
    <row r="22" spans="1:8" x14ac:dyDescent="0.2">
      <c r="A22" s="33" t="s">
        <v>1054</v>
      </c>
      <c r="B22" s="41">
        <v>17</v>
      </c>
      <c r="C22" s="41">
        <v>17</v>
      </c>
      <c r="G22" s="33" t="s">
        <v>1066</v>
      </c>
      <c r="H22" s="41">
        <v>13</v>
      </c>
    </row>
    <row r="23" spans="1:8" x14ac:dyDescent="0.2">
      <c r="A23" s="33" t="s">
        <v>1055</v>
      </c>
      <c r="B23" s="41">
        <v>15</v>
      </c>
      <c r="C23" s="41">
        <v>15</v>
      </c>
      <c r="G23" s="33" t="s">
        <v>1067</v>
      </c>
      <c r="H23" s="41">
        <v>23</v>
      </c>
    </row>
    <row r="24" spans="1:8" x14ac:dyDescent="0.2">
      <c r="A24" s="33" t="s">
        <v>1056</v>
      </c>
      <c r="B24" s="41">
        <v>15</v>
      </c>
      <c r="C24" s="41">
        <v>15</v>
      </c>
      <c r="G24" s="33" t="s">
        <v>1068</v>
      </c>
      <c r="H24" s="41">
        <v>23</v>
      </c>
    </row>
    <row r="25" spans="1:8" x14ac:dyDescent="0.2">
      <c r="A25" s="33" t="s">
        <v>1057</v>
      </c>
      <c r="B25" s="41">
        <v>7</v>
      </c>
      <c r="C25" s="41">
        <v>7</v>
      </c>
      <c r="G25" s="33" t="s">
        <v>1069</v>
      </c>
      <c r="H25" s="41">
        <v>24</v>
      </c>
    </row>
    <row r="26" spans="1:8" x14ac:dyDescent="0.2">
      <c r="A26" s="33" t="s">
        <v>1058</v>
      </c>
      <c r="B26" s="41">
        <v>11</v>
      </c>
      <c r="C26" s="41">
        <v>11</v>
      </c>
      <c r="G26" s="33" t="s">
        <v>1070</v>
      </c>
      <c r="H26" s="41">
        <v>40</v>
      </c>
    </row>
    <row r="27" spans="1:8" x14ac:dyDescent="0.2">
      <c r="A27" s="33" t="s">
        <v>1059</v>
      </c>
      <c r="B27" s="41">
        <v>24</v>
      </c>
      <c r="C27" s="41">
        <v>24</v>
      </c>
      <c r="G27" s="33" t="s">
        <v>1049</v>
      </c>
      <c r="H27" s="41">
        <v>189</v>
      </c>
    </row>
    <row r="28" spans="1:8" x14ac:dyDescent="0.2">
      <c r="A28" s="33" t="s">
        <v>1060</v>
      </c>
      <c r="B28" s="41">
        <v>9</v>
      </c>
      <c r="C28" s="41">
        <v>9</v>
      </c>
    </row>
    <row r="29" spans="1:8" x14ac:dyDescent="0.2">
      <c r="A29" s="33" t="s">
        <v>1061</v>
      </c>
      <c r="B29" s="41">
        <v>6</v>
      </c>
      <c r="C29" s="41">
        <v>6</v>
      </c>
    </row>
    <row r="30" spans="1:8" x14ac:dyDescent="0.2">
      <c r="A30" s="33" t="s">
        <v>1049</v>
      </c>
      <c r="B30" s="41">
        <v>189</v>
      </c>
      <c r="C30" s="41">
        <v>189</v>
      </c>
    </row>
    <row r="50" spans="1:10" x14ac:dyDescent="0.2">
      <c r="A50" s="32" t="s">
        <v>1048</v>
      </c>
      <c r="B50" t="s">
        <v>1062</v>
      </c>
      <c r="C50" t="s">
        <v>1071</v>
      </c>
      <c r="E50" t="s">
        <v>1072</v>
      </c>
    </row>
    <row r="51" spans="1:10" x14ac:dyDescent="0.2">
      <c r="A51" s="33" t="s">
        <v>11</v>
      </c>
      <c r="B51">
        <v>189</v>
      </c>
      <c r="C51">
        <v>18415</v>
      </c>
      <c r="I51" t="s">
        <v>1078</v>
      </c>
      <c r="J51" t="str">
        <f>A82</f>
        <v>R01</v>
      </c>
    </row>
    <row r="52" spans="1:10" x14ac:dyDescent="0.2">
      <c r="A52" s="33" t="s">
        <v>9</v>
      </c>
      <c r="B52">
        <v>218</v>
      </c>
      <c r="C52">
        <v>20581</v>
      </c>
    </row>
    <row r="53" spans="1:10" x14ac:dyDescent="0.2">
      <c r="A53" s="33" t="s">
        <v>6</v>
      </c>
      <c r="B53">
        <v>207</v>
      </c>
      <c r="C53">
        <v>20872</v>
      </c>
    </row>
    <row r="54" spans="1:10" x14ac:dyDescent="0.2">
      <c r="A54" s="33" t="s">
        <v>13</v>
      </c>
      <c r="B54">
        <v>186</v>
      </c>
      <c r="C54">
        <v>16651</v>
      </c>
      <c r="F54" t="s">
        <v>1073</v>
      </c>
      <c r="G54" t="s">
        <v>1074</v>
      </c>
      <c r="H54" t="s">
        <v>1075</v>
      </c>
      <c r="I54" t="s">
        <v>1076</v>
      </c>
      <c r="J54" t="s">
        <v>1077</v>
      </c>
    </row>
    <row r="55" spans="1:10" x14ac:dyDescent="0.2">
      <c r="A55" s="33" t="s">
        <v>10</v>
      </c>
      <c r="B55">
        <v>200</v>
      </c>
      <c r="C55">
        <v>20104</v>
      </c>
      <c r="F55" t="str" cm="1">
        <f t="array" ref="F55:H59">A51:C55</f>
        <v>R01</v>
      </c>
      <c r="G55">
        <v>189</v>
      </c>
      <c r="H55" s="34">
        <v>18415</v>
      </c>
      <c r="I55">
        <f>IF(F55=$J$51,G55,NA())</f>
        <v>189</v>
      </c>
      <c r="J55">
        <f>IF(F55=$J$51,H55,NA())</f>
        <v>18415</v>
      </c>
    </row>
    <row r="56" spans="1:10" x14ac:dyDescent="0.2">
      <c r="A56" s="33" t="s">
        <v>1049</v>
      </c>
      <c r="B56">
        <v>1000</v>
      </c>
      <c r="C56">
        <v>96623</v>
      </c>
      <c r="F56" t="str">
        <v>R02</v>
      </c>
      <c r="G56">
        <v>218</v>
      </c>
      <c r="H56" s="34">
        <v>20581</v>
      </c>
      <c r="I56" t="e">
        <f t="shared" ref="I56:I59" si="0">IF(F56=$J$51,G56,NA())</f>
        <v>#N/A</v>
      </c>
      <c r="J56" t="e">
        <f t="shared" ref="J56:J59" si="1">IF(F56=$J$51,H56,NA())</f>
        <v>#N/A</v>
      </c>
    </row>
    <row r="57" spans="1:10" x14ac:dyDescent="0.2">
      <c r="F57" t="str">
        <v>R03</v>
      </c>
      <c r="G57">
        <v>207</v>
      </c>
      <c r="H57" s="34">
        <v>20872</v>
      </c>
      <c r="I57" t="e">
        <f t="shared" si="0"/>
        <v>#N/A</v>
      </c>
      <c r="J57" t="e">
        <f t="shared" si="1"/>
        <v>#N/A</v>
      </c>
    </row>
    <row r="58" spans="1:10" x14ac:dyDescent="0.2">
      <c r="F58" t="str">
        <v>R04</v>
      </c>
      <c r="G58">
        <v>186</v>
      </c>
      <c r="H58" s="34">
        <v>16651</v>
      </c>
      <c r="I58" t="e">
        <f t="shared" si="0"/>
        <v>#N/A</v>
      </c>
      <c r="J58" t="e">
        <f t="shared" si="1"/>
        <v>#N/A</v>
      </c>
    </row>
    <row r="59" spans="1:10" x14ac:dyDescent="0.2">
      <c r="F59" t="str">
        <v>R05</v>
      </c>
      <c r="G59">
        <v>200</v>
      </c>
      <c r="H59" s="34">
        <v>20104</v>
      </c>
      <c r="I59" t="e">
        <f t="shared" si="0"/>
        <v>#N/A</v>
      </c>
      <c r="J59" t="e">
        <f t="shared" si="1"/>
        <v>#N/A</v>
      </c>
    </row>
    <row r="68" spans="1:9" x14ac:dyDescent="0.2">
      <c r="A68" s="35" t="e" vm="1">
        <v>#VALUE!</v>
      </c>
    </row>
    <row r="69" spans="1:9" x14ac:dyDescent="0.2">
      <c r="H69" t="s">
        <v>1086</v>
      </c>
    </row>
    <row r="71" spans="1:9" x14ac:dyDescent="0.2">
      <c r="H71" t="s">
        <v>1087</v>
      </c>
      <c r="I71" s="39">
        <f>A11/A4</f>
        <v>0.189</v>
      </c>
    </row>
    <row r="72" spans="1:9" x14ac:dyDescent="0.2">
      <c r="H72" t="s">
        <v>1090</v>
      </c>
      <c r="I72">
        <f>_xlfn.XLOOKUP(A82,F55:F59,G55:G59)</f>
        <v>189</v>
      </c>
    </row>
    <row r="73" spans="1:9" x14ac:dyDescent="0.2">
      <c r="H73" t="s">
        <v>1089</v>
      </c>
      <c r="I73">
        <f>_xlfn.XLOOKUP(A82,F55:F59,H55:H59)</f>
        <v>18415</v>
      </c>
    </row>
    <row r="74" spans="1:9" x14ac:dyDescent="0.2">
      <c r="H74" t="s">
        <v>1088</v>
      </c>
      <c r="I74">
        <f>_xlfn.RANK.AVG(I72,G55:G59)</f>
        <v>4</v>
      </c>
    </row>
    <row r="75" spans="1:9" x14ac:dyDescent="0.2">
      <c r="H75" t="s">
        <v>1089</v>
      </c>
      <c r="I75">
        <f>_xlfn.RANK.AVG(I73,H55:H59)</f>
        <v>4</v>
      </c>
    </row>
    <row r="77" spans="1:9" x14ac:dyDescent="0.2">
      <c r="H77" t="s">
        <v>1091</v>
      </c>
    </row>
    <row r="78" spans="1:9" x14ac:dyDescent="0.2">
      <c r="I78" t="str">
        <f>"% of calls:"&amp;TEXT(I71,"0%")</f>
        <v>% of calls:19%</v>
      </c>
    </row>
    <row r="79" spans="1:9" x14ac:dyDescent="0.2">
      <c r="I79" t="str">
        <f>IF(COUNTA(A82:A86)&gt;1,"","call rank:"&amp;I74)</f>
        <v>call rank:4</v>
      </c>
    </row>
    <row r="80" spans="1:9" x14ac:dyDescent="0.2">
      <c r="I80" t="str">
        <f>"Amount rank:"&amp;I75</f>
        <v>Amount rank:4</v>
      </c>
    </row>
    <row r="81" spans="1:9" x14ac:dyDescent="0.2">
      <c r="A81" s="32" t="s">
        <v>1048</v>
      </c>
    </row>
    <row r="82" spans="1:9" x14ac:dyDescent="0.2">
      <c r="A82" s="33" t="s">
        <v>11</v>
      </c>
    </row>
    <row r="83" spans="1:9" x14ac:dyDescent="0.2">
      <c r="H83" t="s">
        <v>1092</v>
      </c>
      <c r="I83" t="e" vm="2">
        <f>IF(COUNTA(A82:A86)&gt;1,"",_xlfn.XLOOKUP(A82,Assets!E3:E7,Assets!F3:F7))</f>
        <v>#VALUE!</v>
      </c>
    </row>
    <row r="85" spans="1:9" x14ac:dyDescent="0.2">
      <c r="D85" s="32" t="s">
        <v>1062</v>
      </c>
      <c r="E85" s="32" t="s">
        <v>1079</v>
      </c>
    </row>
    <row r="86" spans="1:9" x14ac:dyDescent="0.2">
      <c r="D86" s="32" t="s">
        <v>1048</v>
      </c>
      <c r="E86" t="s">
        <v>999</v>
      </c>
      <c r="F86" t="s">
        <v>998</v>
      </c>
      <c r="G86" t="s">
        <v>1049</v>
      </c>
    </row>
    <row r="87" spans="1:9" x14ac:dyDescent="0.2">
      <c r="D87" s="33" t="s">
        <v>1002</v>
      </c>
      <c r="E87">
        <v>144</v>
      </c>
      <c r="F87">
        <v>132</v>
      </c>
      <c r="G87">
        <v>276</v>
      </c>
    </row>
    <row r="88" spans="1:9" x14ac:dyDescent="0.2">
      <c r="D88" s="33" t="s">
        <v>1001</v>
      </c>
      <c r="E88">
        <v>326</v>
      </c>
      <c r="F88">
        <v>63</v>
      </c>
      <c r="G88">
        <v>389</v>
      </c>
    </row>
    <row r="89" spans="1:9" x14ac:dyDescent="0.2">
      <c r="D89" s="33" t="s">
        <v>1000</v>
      </c>
      <c r="E89">
        <v>129</v>
      </c>
      <c r="F89">
        <v>206</v>
      </c>
      <c r="G89">
        <v>335</v>
      </c>
    </row>
    <row r="90" spans="1:9" x14ac:dyDescent="0.2">
      <c r="D90" s="33" t="s">
        <v>1049</v>
      </c>
      <c r="E90">
        <v>599</v>
      </c>
      <c r="F90">
        <v>401</v>
      </c>
      <c r="G90">
        <v>1000</v>
      </c>
    </row>
    <row r="97" spans="4:10" x14ac:dyDescent="0.2">
      <c r="D97" s="32" t="s">
        <v>1048</v>
      </c>
      <c r="E97" t="s">
        <v>1062</v>
      </c>
    </row>
    <row r="98" spans="4:10" x14ac:dyDescent="0.2">
      <c r="D98" s="33">
        <v>1</v>
      </c>
      <c r="E98" s="41">
        <v>1</v>
      </c>
    </row>
    <row r="99" spans="4:10" x14ac:dyDescent="0.2">
      <c r="D99" s="33">
        <v>2</v>
      </c>
      <c r="E99" s="41">
        <v>9</v>
      </c>
    </row>
    <row r="100" spans="4:10" x14ac:dyDescent="0.2">
      <c r="D100" s="33">
        <v>3</v>
      </c>
      <c r="E100" s="41">
        <v>31</v>
      </c>
    </row>
    <row r="101" spans="4:10" x14ac:dyDescent="0.2">
      <c r="D101" s="33">
        <v>4</v>
      </c>
      <c r="E101" s="41">
        <v>88</v>
      </c>
    </row>
    <row r="102" spans="4:10" x14ac:dyDescent="0.2">
      <c r="D102" s="33">
        <v>5</v>
      </c>
      <c r="E102" s="41">
        <v>60</v>
      </c>
    </row>
    <row r="103" spans="4:10" x14ac:dyDescent="0.2">
      <c r="D103" s="33" t="s">
        <v>1049</v>
      </c>
      <c r="E103" s="41">
        <v>189</v>
      </c>
    </row>
    <row r="107" spans="4:10" x14ac:dyDescent="0.2">
      <c r="D107" s="32" t="s">
        <v>1071</v>
      </c>
      <c r="E107" s="32" t="s">
        <v>1079</v>
      </c>
    </row>
    <row r="108" spans="4:10" x14ac:dyDescent="0.2">
      <c r="D108" s="32" t="s">
        <v>1048</v>
      </c>
      <c r="E108" t="s">
        <v>11</v>
      </c>
      <c r="F108" t="s">
        <v>9</v>
      </c>
      <c r="G108" t="s">
        <v>6</v>
      </c>
      <c r="H108" t="s">
        <v>13</v>
      </c>
      <c r="I108" t="s">
        <v>10</v>
      </c>
      <c r="J108" t="s">
        <v>1049</v>
      </c>
    </row>
    <row r="109" spans="4:10" x14ac:dyDescent="0.2">
      <c r="D109" s="33" t="s">
        <v>1002</v>
      </c>
      <c r="E109" s="29"/>
      <c r="F109" s="29"/>
      <c r="G109" s="29"/>
      <c r="H109" s="29"/>
      <c r="I109" s="29"/>
      <c r="J109" s="29"/>
    </row>
    <row r="110" spans="4:10" x14ac:dyDescent="0.2">
      <c r="D110" s="36" t="s">
        <v>20</v>
      </c>
      <c r="E110" s="29">
        <v>891</v>
      </c>
      <c r="F110" s="29">
        <v>1332</v>
      </c>
      <c r="G110" s="29">
        <v>1282</v>
      </c>
      <c r="H110" s="29">
        <v>739</v>
      </c>
      <c r="I110" s="29">
        <v>560</v>
      </c>
      <c r="J110" s="29">
        <v>4804</v>
      </c>
    </row>
    <row r="111" spans="4:10" x14ac:dyDescent="0.2">
      <c r="D111" s="36" t="s">
        <v>12</v>
      </c>
      <c r="E111" s="29">
        <v>1991</v>
      </c>
      <c r="F111" s="29">
        <v>1886</v>
      </c>
      <c r="G111" s="29">
        <v>1206</v>
      </c>
      <c r="H111" s="29">
        <v>884</v>
      </c>
      <c r="I111" s="29">
        <v>1722</v>
      </c>
      <c r="J111" s="29">
        <v>7689</v>
      </c>
    </row>
    <row r="112" spans="4:10" x14ac:dyDescent="0.2">
      <c r="D112" s="36" t="s">
        <v>8</v>
      </c>
      <c r="E112" s="29">
        <v>1163</v>
      </c>
      <c r="F112" s="29">
        <v>1180</v>
      </c>
      <c r="G112" s="29">
        <v>1616</v>
      </c>
      <c r="H112" s="29">
        <v>1043</v>
      </c>
      <c r="I112" s="29">
        <v>1747</v>
      </c>
      <c r="J112" s="29">
        <v>6749</v>
      </c>
    </row>
    <row r="113" spans="4:10" x14ac:dyDescent="0.2">
      <c r="D113" s="36" t="s">
        <v>16</v>
      </c>
      <c r="E113" s="29">
        <v>1438</v>
      </c>
      <c r="F113" s="29">
        <v>1616</v>
      </c>
      <c r="G113" s="29">
        <v>866</v>
      </c>
      <c r="H113" s="29">
        <v>829</v>
      </c>
      <c r="I113" s="29">
        <v>2070</v>
      </c>
      <c r="J113" s="29">
        <v>6819</v>
      </c>
    </row>
    <row r="114" spans="4:10" x14ac:dyDescent="0.2">
      <c r="D114" s="33" t="s">
        <v>1001</v>
      </c>
      <c r="E114" s="29"/>
      <c r="F114" s="29"/>
      <c r="G114" s="29"/>
      <c r="H114" s="29"/>
      <c r="I114" s="29"/>
      <c r="J114" s="29"/>
    </row>
    <row r="115" spans="4:10" x14ac:dyDescent="0.2">
      <c r="D115" s="36" t="s">
        <v>24</v>
      </c>
      <c r="E115" s="29">
        <v>1233</v>
      </c>
      <c r="F115" s="29">
        <v>223</v>
      </c>
      <c r="G115" s="29">
        <v>1680</v>
      </c>
      <c r="H115" s="29">
        <v>990</v>
      </c>
      <c r="I115" s="29">
        <v>1508</v>
      </c>
      <c r="J115" s="29">
        <v>5634</v>
      </c>
    </row>
    <row r="116" spans="4:10" x14ac:dyDescent="0.2">
      <c r="D116" s="36" t="s">
        <v>15</v>
      </c>
      <c r="E116" s="29">
        <v>1598</v>
      </c>
      <c r="F116" s="29">
        <v>1907</v>
      </c>
      <c r="G116" s="29">
        <v>869</v>
      </c>
      <c r="H116" s="29">
        <v>1426</v>
      </c>
      <c r="I116" s="29">
        <v>1416</v>
      </c>
      <c r="J116" s="29">
        <v>7216</v>
      </c>
    </row>
    <row r="117" spans="4:10" x14ac:dyDescent="0.2">
      <c r="D117" s="36" t="s">
        <v>5</v>
      </c>
      <c r="E117" s="29">
        <v>900</v>
      </c>
      <c r="F117" s="29">
        <v>1016</v>
      </c>
      <c r="G117" s="29">
        <v>960</v>
      </c>
      <c r="H117" s="29">
        <v>940</v>
      </c>
      <c r="I117" s="29">
        <v>1193</v>
      </c>
      <c r="J117" s="29">
        <v>5009</v>
      </c>
    </row>
    <row r="118" spans="4:10" x14ac:dyDescent="0.2">
      <c r="D118" s="36" t="s">
        <v>18</v>
      </c>
      <c r="E118" s="29">
        <v>900</v>
      </c>
      <c r="F118" s="29">
        <v>1470</v>
      </c>
      <c r="G118" s="29">
        <v>1617</v>
      </c>
      <c r="H118" s="29">
        <v>1314</v>
      </c>
      <c r="I118" s="29">
        <v>941</v>
      </c>
      <c r="J118" s="29">
        <v>6242</v>
      </c>
    </row>
    <row r="119" spans="4:10" x14ac:dyDescent="0.2">
      <c r="D119" s="36" t="s">
        <v>14</v>
      </c>
      <c r="E119" s="29">
        <v>1255</v>
      </c>
      <c r="F119" s="29">
        <v>516</v>
      </c>
      <c r="G119" s="29">
        <v>1874</v>
      </c>
      <c r="H119" s="29">
        <v>1863</v>
      </c>
      <c r="I119" s="29">
        <v>1722</v>
      </c>
      <c r="J119" s="29">
        <v>7230</v>
      </c>
    </row>
    <row r="120" spans="4:10" x14ac:dyDescent="0.2">
      <c r="D120" s="36" t="s">
        <v>19</v>
      </c>
      <c r="E120" s="29">
        <v>1138</v>
      </c>
      <c r="F120" s="29">
        <v>1898</v>
      </c>
      <c r="G120" s="29">
        <v>1482</v>
      </c>
      <c r="H120" s="29">
        <v>846</v>
      </c>
      <c r="I120" s="29">
        <v>1154</v>
      </c>
      <c r="J120" s="29">
        <v>6518</v>
      </c>
    </row>
    <row r="121" spans="4:10" x14ac:dyDescent="0.2">
      <c r="D121" s="33" t="s">
        <v>1000</v>
      </c>
      <c r="E121" s="29"/>
      <c r="F121" s="29"/>
      <c r="G121" s="29"/>
      <c r="H121" s="29"/>
      <c r="I121" s="29"/>
      <c r="J121" s="29"/>
    </row>
    <row r="122" spans="4:10" x14ac:dyDescent="0.2">
      <c r="D122" s="36" t="s">
        <v>17</v>
      </c>
      <c r="E122" s="29">
        <v>1655</v>
      </c>
      <c r="F122" s="29">
        <v>805</v>
      </c>
      <c r="G122" s="29">
        <v>2263</v>
      </c>
      <c r="H122" s="29">
        <v>987</v>
      </c>
      <c r="I122" s="29">
        <v>1075</v>
      </c>
      <c r="J122" s="29">
        <v>6785</v>
      </c>
    </row>
    <row r="123" spans="4:10" x14ac:dyDescent="0.2">
      <c r="D123" s="36" t="s">
        <v>23</v>
      </c>
      <c r="E123" s="29">
        <v>1104</v>
      </c>
      <c r="F123" s="29">
        <v>2280</v>
      </c>
      <c r="G123" s="29">
        <v>1445</v>
      </c>
      <c r="H123" s="29">
        <v>1722</v>
      </c>
      <c r="I123" s="29">
        <v>1196</v>
      </c>
      <c r="J123" s="29">
        <v>7747</v>
      </c>
    </row>
    <row r="124" spans="4:10" x14ac:dyDescent="0.2">
      <c r="D124" s="36" t="s">
        <v>7</v>
      </c>
      <c r="E124" s="29">
        <v>372</v>
      </c>
      <c r="F124" s="29">
        <v>1818</v>
      </c>
      <c r="G124" s="29">
        <v>1346</v>
      </c>
      <c r="H124" s="29">
        <v>1156</v>
      </c>
      <c r="I124" s="29">
        <v>1484</v>
      </c>
      <c r="J124" s="29">
        <v>6176</v>
      </c>
    </row>
    <row r="125" spans="4:10" x14ac:dyDescent="0.2">
      <c r="D125" s="36" t="s">
        <v>22</v>
      </c>
      <c r="E125" s="29">
        <v>1415</v>
      </c>
      <c r="F125" s="29">
        <v>1271</v>
      </c>
      <c r="G125" s="29">
        <v>1214</v>
      </c>
      <c r="H125" s="29">
        <v>1135</v>
      </c>
      <c r="I125" s="29">
        <v>1566</v>
      </c>
      <c r="J125" s="29">
        <v>6601</v>
      </c>
    </row>
    <row r="126" spans="4:10" x14ac:dyDescent="0.2">
      <c r="D126" s="36" t="s">
        <v>21</v>
      </c>
      <c r="E126" s="29">
        <v>1362</v>
      </c>
      <c r="F126" s="29">
        <v>1363</v>
      </c>
      <c r="G126" s="29">
        <v>1152</v>
      </c>
      <c r="H126" s="29">
        <v>777</v>
      </c>
      <c r="I126" s="29">
        <v>750</v>
      </c>
      <c r="J126" s="29">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U1003"/>
  <sheetViews>
    <sheetView tabSelected="1" topLeftCell="E952" zoomScale="119" zoomScaleNormal="115" workbookViewId="0">
      <selection activeCell="T994" sqref="T994"/>
    </sheetView>
  </sheetViews>
  <sheetFormatPr baseColWidth="10" defaultColWidth="8.83203125" defaultRowHeight="15" x14ac:dyDescent="0.2"/>
  <cols>
    <col min="1" max="1" width="3.1640625" customWidth="1"/>
    <col min="2" max="2" width="14.6640625" customWidth="1"/>
    <col min="3" max="3" width="12.83203125" customWidth="1"/>
    <col min="4" max="4" width="16.6640625" customWidth="1"/>
    <col min="5" max="5" width="15" customWidth="1"/>
    <col min="6" max="6" width="16.1640625" customWidth="1"/>
    <col min="7" max="7" width="17.1640625" customWidth="1"/>
    <col min="8" max="8" width="18.33203125" customWidth="1"/>
    <col min="9" max="9" width="17.1640625" customWidth="1"/>
    <col min="10" max="12" width="15.5" customWidth="1"/>
    <col min="13" max="16" width="7.5" customWidth="1"/>
    <col min="17" max="17" width="9.6640625" customWidth="1"/>
    <col min="18" max="18" width="14.6640625" customWidth="1"/>
    <col min="21" max="21" width="10.6640625" customWidth="1"/>
  </cols>
  <sheetData>
    <row r="1" spans="2:21" s="4" customFormat="1" ht="48" customHeight="1" x14ac:dyDescent="0.2">
      <c r="B1" s="5" t="s">
        <v>1003</v>
      </c>
    </row>
    <row r="2" spans="2:21" x14ac:dyDescent="0.2">
      <c r="S2" s="1"/>
    </row>
    <row r="3" spans="2:21" x14ac:dyDescent="0.2">
      <c r="B3" s="14" t="s">
        <v>25</v>
      </c>
      <c r="C3" s="14" t="s">
        <v>0</v>
      </c>
      <c r="D3" s="15" t="s">
        <v>1</v>
      </c>
      <c r="E3" s="16" t="s">
        <v>3</v>
      </c>
      <c r="F3" s="16" t="s">
        <v>4</v>
      </c>
      <c r="G3" s="14" t="s">
        <v>2</v>
      </c>
      <c r="H3" s="14" t="s">
        <v>994</v>
      </c>
      <c r="I3" t="s">
        <v>1036</v>
      </c>
      <c r="J3" t="s">
        <v>1037</v>
      </c>
      <c r="K3" t="s">
        <v>1038</v>
      </c>
      <c r="L3" t="s">
        <v>1039</v>
      </c>
      <c r="M3" t="s">
        <v>997</v>
      </c>
      <c r="N3" t="s">
        <v>995</v>
      </c>
      <c r="O3" t="s">
        <v>996</v>
      </c>
      <c r="P3" t="s">
        <v>1042</v>
      </c>
      <c r="Q3" t="s">
        <v>1046</v>
      </c>
      <c r="R3" s="8" t="s">
        <v>0</v>
      </c>
      <c r="S3" s="9" t="s">
        <v>995</v>
      </c>
      <c r="T3" s="9" t="s">
        <v>996</v>
      </c>
      <c r="U3" s="10" t="s">
        <v>997</v>
      </c>
    </row>
    <row r="4" spans="2:21" x14ac:dyDescent="0.2">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M4" s="7" t="str">
        <f>_xlfn.XLOOKUP(calls[[#This Row],[Customer ID]],customers[Customer ID],customers[City])</f>
        <v>Cincinnati</v>
      </c>
      <c r="N4" s="3" t="str">
        <f>_xlfn.XLOOKUP(calls[[#This Row],[Customer ID]],customers[Customer ID],customers[Gedner])</f>
        <v>Male</v>
      </c>
      <c r="O4" s="2">
        <v>41</v>
      </c>
      <c r="P4">
        <f>IF(calls[[#This Row],[Call number]]&lt;&gt;"",1,0)</f>
        <v>1</v>
      </c>
      <c r="Q4">
        <f>IF(calls[[#This Row],[Rating rounded]]=5,1,0)</f>
        <v>1</v>
      </c>
      <c r="R4" s="6" t="s">
        <v>17</v>
      </c>
      <c r="S4" s="3" t="s">
        <v>998</v>
      </c>
      <c r="T4" s="2">
        <v>41</v>
      </c>
      <c r="U4" s="7" t="s">
        <v>1000</v>
      </c>
    </row>
    <row r="5" spans="2:21" x14ac:dyDescent="0.2">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M5" s="7" t="str">
        <f>_xlfn.XLOOKUP(calls[[#This Row],[Customer ID]],customers[Customer ID],customers[City])</f>
        <v>Cincinnati</v>
      </c>
      <c r="N5" s="3" t="str">
        <f>_xlfn.XLOOKUP(calls[[#This Row],[Customer ID]],customers[Customer ID],customers[Gedner])</f>
        <v>Male</v>
      </c>
      <c r="O5" s="2">
        <v>31</v>
      </c>
      <c r="P5">
        <f>IF(calls[[#This Row],[Call number]]&lt;&gt;"",1,0)</f>
        <v>1</v>
      </c>
      <c r="Q5">
        <f>IF(calls[[#This Row],[Rating rounded]]=5,1,0)</f>
        <v>0</v>
      </c>
      <c r="R5" s="6" t="s">
        <v>24</v>
      </c>
      <c r="S5" s="3" t="s">
        <v>998</v>
      </c>
      <c r="T5" s="2">
        <v>31</v>
      </c>
      <c r="U5" s="7" t="s">
        <v>1001</v>
      </c>
    </row>
    <row r="6" spans="2:21" x14ac:dyDescent="0.2">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M6" s="7" t="str">
        <f>_xlfn.XLOOKUP(calls[[#This Row],[Customer ID]],customers[Customer ID],customers[City])</f>
        <v>Columbus</v>
      </c>
      <c r="N6" s="3" t="str">
        <f>_xlfn.XLOOKUP(calls[[#This Row],[Customer ID]],customers[Customer ID],customers[Gedner])</f>
        <v>Male</v>
      </c>
      <c r="O6" s="2">
        <v>26</v>
      </c>
      <c r="P6">
        <f>IF(calls[[#This Row],[Call number]]&lt;&gt;"",1,0)</f>
        <v>1</v>
      </c>
      <c r="Q6">
        <f>IF(calls[[#This Row],[Rating rounded]]=5,1,0)</f>
        <v>1</v>
      </c>
      <c r="R6" s="6" t="s">
        <v>20</v>
      </c>
      <c r="S6" s="3" t="s">
        <v>998</v>
      </c>
      <c r="T6" s="2">
        <v>26</v>
      </c>
      <c r="U6" s="7" t="s">
        <v>1002</v>
      </c>
    </row>
    <row r="7" spans="2:21" x14ac:dyDescent="0.2">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M7" s="7" t="str">
        <f>_xlfn.XLOOKUP(calls[[#This Row],[Customer ID]],customers[Customer ID],customers[City])</f>
        <v>Columbus</v>
      </c>
      <c r="N7" s="3" t="str">
        <f>_xlfn.XLOOKUP(calls[[#This Row],[Customer ID]],customers[Customer ID],customers[Gedner])</f>
        <v>Female</v>
      </c>
      <c r="O7" s="2">
        <v>36</v>
      </c>
      <c r="P7">
        <f>IF(calls[[#This Row],[Call number]]&lt;&gt;"",1,0)</f>
        <v>1</v>
      </c>
      <c r="Q7">
        <f>IF(calls[[#This Row],[Rating rounded]]=5,1,0)</f>
        <v>0</v>
      </c>
      <c r="R7" s="6" t="s">
        <v>12</v>
      </c>
      <c r="S7" s="3" t="s">
        <v>998</v>
      </c>
      <c r="T7" s="2">
        <v>36</v>
      </c>
      <c r="U7" s="7" t="s">
        <v>1002</v>
      </c>
    </row>
    <row r="8" spans="2:21" x14ac:dyDescent="0.2">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M8" s="7" t="str">
        <f>_xlfn.XLOOKUP(calls[[#This Row],[Customer ID]],customers[Customer ID],customers[City])</f>
        <v>Cincinnati</v>
      </c>
      <c r="N8" s="3" t="str">
        <f>_xlfn.XLOOKUP(calls[[#This Row],[Customer ID]],customers[Customer ID],customers[Gedner])</f>
        <v>Female</v>
      </c>
      <c r="O8" s="2">
        <v>37</v>
      </c>
      <c r="P8">
        <f>IF(calls[[#This Row],[Call number]]&lt;&gt;"",1,0)</f>
        <v>1</v>
      </c>
      <c r="Q8">
        <f>IF(calls[[#This Row],[Rating rounded]]=5,1,0)</f>
        <v>0</v>
      </c>
      <c r="R8" s="6" t="s">
        <v>23</v>
      </c>
      <c r="S8" s="3" t="s">
        <v>998</v>
      </c>
      <c r="T8" s="2">
        <v>37</v>
      </c>
      <c r="U8" s="7" t="s">
        <v>1000</v>
      </c>
    </row>
    <row r="9" spans="2:21" x14ac:dyDescent="0.2">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M9" s="7" t="str">
        <f>_xlfn.XLOOKUP(calls[[#This Row],[Customer ID]],customers[Customer ID],customers[City])</f>
        <v>Cincinnati</v>
      </c>
      <c r="N9" s="3" t="str">
        <f>_xlfn.XLOOKUP(calls[[#This Row],[Customer ID]],customers[Customer ID],customers[Gedner])</f>
        <v>Female</v>
      </c>
      <c r="O9" s="2">
        <v>23</v>
      </c>
      <c r="P9">
        <f>IF(calls[[#This Row],[Call number]]&lt;&gt;"",1,0)</f>
        <v>1</v>
      </c>
      <c r="Q9">
        <f>IF(calls[[#This Row],[Rating rounded]]=5,1,0)</f>
        <v>1</v>
      </c>
      <c r="R9" s="6" t="s">
        <v>7</v>
      </c>
      <c r="S9" s="3" t="s">
        <v>998</v>
      </c>
      <c r="T9" s="2">
        <v>23</v>
      </c>
      <c r="U9" s="7" t="s">
        <v>1000</v>
      </c>
    </row>
    <row r="10" spans="2:21" x14ac:dyDescent="0.2">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M10" s="7" t="str">
        <f>_xlfn.XLOOKUP(calls[[#This Row],[Customer ID]],customers[Customer ID],customers[City])</f>
        <v>Cleveland</v>
      </c>
      <c r="N10" s="3" t="str">
        <f>_xlfn.XLOOKUP(calls[[#This Row],[Customer ID]],customers[Customer ID],customers[Gedner])</f>
        <v>Female</v>
      </c>
      <c r="O10" s="2">
        <v>22</v>
      </c>
      <c r="P10">
        <f>IF(calls[[#This Row],[Call number]]&lt;&gt;"",1,0)</f>
        <v>1</v>
      </c>
      <c r="Q10">
        <f>IF(calls[[#This Row],[Rating rounded]]=5,1,0)</f>
        <v>1</v>
      </c>
      <c r="R10" s="6" t="s">
        <v>15</v>
      </c>
      <c r="S10" s="3" t="s">
        <v>999</v>
      </c>
      <c r="T10" s="2">
        <v>22</v>
      </c>
      <c r="U10" s="7" t="s">
        <v>1001</v>
      </c>
    </row>
    <row r="11" spans="2:21" x14ac:dyDescent="0.2">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M11" s="7" t="str">
        <f>_xlfn.XLOOKUP(calls[[#This Row],[Customer ID]],customers[Customer ID],customers[City])</f>
        <v>Cincinnati</v>
      </c>
      <c r="N11" s="3" t="str">
        <f>_xlfn.XLOOKUP(calls[[#This Row],[Customer ID]],customers[Customer ID],customers[Gedner])</f>
        <v>Male</v>
      </c>
      <c r="O11" s="2">
        <v>42</v>
      </c>
      <c r="P11">
        <f>IF(calls[[#This Row],[Call number]]&lt;&gt;"",1,0)</f>
        <v>1</v>
      </c>
      <c r="Q11">
        <f>IF(calls[[#This Row],[Rating rounded]]=5,1,0)</f>
        <v>0</v>
      </c>
      <c r="R11" s="6" t="s">
        <v>5</v>
      </c>
      <c r="S11" s="3" t="s">
        <v>999</v>
      </c>
      <c r="T11" s="2">
        <v>42</v>
      </c>
      <c r="U11" s="7" t="s">
        <v>1001</v>
      </c>
    </row>
    <row r="12" spans="2:21" x14ac:dyDescent="0.2">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M12" s="7" t="str">
        <f>_xlfn.XLOOKUP(calls[[#This Row],[Customer ID]],customers[Customer ID],customers[City])</f>
        <v>Columbus</v>
      </c>
      <c r="N12" s="3" t="str">
        <f>_xlfn.XLOOKUP(calls[[#This Row],[Customer ID]],customers[Customer ID],customers[Gedner])</f>
        <v>Male</v>
      </c>
      <c r="O12" s="2">
        <v>25</v>
      </c>
      <c r="P12">
        <f>IF(calls[[#This Row],[Call number]]&lt;&gt;"",1,0)</f>
        <v>1</v>
      </c>
      <c r="Q12">
        <f>IF(calls[[#This Row],[Rating rounded]]=5,1,0)</f>
        <v>0</v>
      </c>
      <c r="R12" s="6" t="s">
        <v>22</v>
      </c>
      <c r="S12" s="3" t="s">
        <v>999</v>
      </c>
      <c r="T12" s="2">
        <v>25</v>
      </c>
      <c r="U12" s="7" t="s">
        <v>1000</v>
      </c>
    </row>
    <row r="13" spans="2:21" x14ac:dyDescent="0.2">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M13" s="7" t="str">
        <f>_xlfn.XLOOKUP(calls[[#This Row],[Customer ID]],customers[Customer ID],customers[City])</f>
        <v>Cleveland</v>
      </c>
      <c r="N13" s="3" t="str">
        <f>_xlfn.XLOOKUP(calls[[#This Row],[Customer ID]],customers[Customer ID],customers[Gedner])</f>
        <v>Female</v>
      </c>
      <c r="O13" s="2">
        <v>30</v>
      </c>
      <c r="P13">
        <f>IF(calls[[#This Row],[Call number]]&lt;&gt;"",1,0)</f>
        <v>1</v>
      </c>
      <c r="Q13">
        <f>IF(calls[[#This Row],[Rating rounded]]=5,1,0)</f>
        <v>0</v>
      </c>
      <c r="R13" s="6" t="s">
        <v>18</v>
      </c>
      <c r="S13" s="3" t="s">
        <v>999</v>
      </c>
      <c r="T13" s="2">
        <v>30</v>
      </c>
      <c r="U13" s="7" t="s">
        <v>1001</v>
      </c>
    </row>
    <row r="14" spans="2:21" x14ac:dyDescent="0.2">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M14" s="7" t="str">
        <f>_xlfn.XLOOKUP(calls[[#This Row],[Customer ID]],customers[Customer ID],customers[City])</f>
        <v>Cincinnati</v>
      </c>
      <c r="N14" s="3" t="str">
        <f>_xlfn.XLOOKUP(calls[[#This Row],[Customer ID]],customers[Customer ID],customers[Gedner])</f>
        <v>Female</v>
      </c>
      <c r="O14" s="2">
        <v>30</v>
      </c>
      <c r="P14">
        <f>IF(calls[[#This Row],[Call number]]&lt;&gt;"",1,0)</f>
        <v>1</v>
      </c>
      <c r="Q14">
        <f>IF(calls[[#This Row],[Rating rounded]]=5,1,0)</f>
        <v>1</v>
      </c>
      <c r="R14" s="6" t="s">
        <v>8</v>
      </c>
      <c r="S14" s="3" t="s">
        <v>999</v>
      </c>
      <c r="T14" s="2">
        <v>30</v>
      </c>
      <c r="U14" s="7" t="s">
        <v>1002</v>
      </c>
    </row>
    <row r="15" spans="2:21" x14ac:dyDescent="0.2">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M15" s="7" t="str">
        <f>_xlfn.XLOOKUP(calls[[#This Row],[Customer ID]],customers[Customer ID],customers[City])</f>
        <v>Cleveland</v>
      </c>
      <c r="N15" s="3" t="str">
        <f>_xlfn.XLOOKUP(calls[[#This Row],[Customer ID]],customers[Customer ID],customers[Gedner])</f>
        <v>Female</v>
      </c>
      <c r="O15" s="2">
        <v>28</v>
      </c>
      <c r="P15">
        <f>IF(calls[[#This Row],[Call number]]&lt;&gt;"",1,0)</f>
        <v>1</v>
      </c>
      <c r="Q15">
        <f>IF(calls[[#This Row],[Rating rounded]]=5,1,0)</f>
        <v>0</v>
      </c>
      <c r="R15" s="6" t="s">
        <v>16</v>
      </c>
      <c r="S15" s="3" t="s">
        <v>999</v>
      </c>
      <c r="T15" s="2">
        <v>28</v>
      </c>
      <c r="U15" s="7" t="s">
        <v>1002</v>
      </c>
    </row>
    <row r="16" spans="2:21" x14ac:dyDescent="0.2">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M16" s="7" t="str">
        <f>_xlfn.XLOOKUP(calls[[#This Row],[Customer ID]],customers[Customer ID],customers[City])</f>
        <v>Cleveland</v>
      </c>
      <c r="N16" s="3" t="str">
        <f>_xlfn.XLOOKUP(calls[[#This Row],[Customer ID]],customers[Customer ID],customers[Gedner])</f>
        <v>Male</v>
      </c>
      <c r="O16" s="2">
        <v>37</v>
      </c>
      <c r="P16">
        <f>IF(calls[[#This Row],[Call number]]&lt;&gt;"",1,0)</f>
        <v>1</v>
      </c>
      <c r="Q16">
        <f>IF(calls[[#This Row],[Rating rounded]]=5,1,0)</f>
        <v>0</v>
      </c>
      <c r="R16" s="6" t="s">
        <v>14</v>
      </c>
      <c r="S16" s="3" t="s">
        <v>999</v>
      </c>
      <c r="T16" s="2">
        <v>37</v>
      </c>
      <c r="U16" s="7" t="s">
        <v>1001</v>
      </c>
    </row>
    <row r="17" spans="2:21" x14ac:dyDescent="0.2">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M17" s="7" t="str">
        <f>_xlfn.XLOOKUP(calls[[#This Row],[Customer ID]],customers[Customer ID],customers[City])</f>
        <v>Cleveland</v>
      </c>
      <c r="N17" s="3" t="str">
        <f>_xlfn.XLOOKUP(calls[[#This Row],[Customer ID]],customers[Customer ID],customers[Gedner])</f>
        <v>Female</v>
      </c>
      <c r="O17" s="2">
        <v>38</v>
      </c>
      <c r="P17">
        <f>IF(calls[[#This Row],[Call number]]&lt;&gt;"",1,0)</f>
        <v>1</v>
      </c>
      <c r="Q17">
        <f>IF(calls[[#This Row],[Rating rounded]]=5,1,0)</f>
        <v>0</v>
      </c>
      <c r="R17" s="6" t="s">
        <v>21</v>
      </c>
      <c r="S17" s="3" t="s">
        <v>999</v>
      </c>
      <c r="T17" s="2">
        <v>38</v>
      </c>
      <c r="U17" s="7" t="s">
        <v>1000</v>
      </c>
    </row>
    <row r="18" spans="2:21" x14ac:dyDescent="0.2">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M18" s="7" t="str">
        <f>_xlfn.XLOOKUP(calls[[#This Row],[Customer ID]],customers[Customer ID],customers[City])</f>
        <v>Cleveland</v>
      </c>
      <c r="N18" s="3" t="str">
        <f>_xlfn.XLOOKUP(calls[[#This Row],[Customer ID]],customers[Customer ID],customers[Gedner])</f>
        <v>Female</v>
      </c>
      <c r="O18" s="12">
        <v>43</v>
      </c>
      <c r="P18">
        <f>IF(calls[[#This Row],[Call number]]&lt;&gt;"",1,0)</f>
        <v>1</v>
      </c>
      <c r="Q18">
        <f>IF(calls[[#This Row],[Rating rounded]]=5,1,0)</f>
        <v>1</v>
      </c>
      <c r="R18" s="11" t="s">
        <v>19</v>
      </c>
      <c r="S18" s="19" t="s">
        <v>999</v>
      </c>
      <c r="T18" s="12">
        <v>43</v>
      </c>
      <c r="U18" s="13" t="s">
        <v>1001</v>
      </c>
    </row>
    <row r="19" spans="2:21" x14ac:dyDescent="0.2">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c r="M19" s="7" t="str">
        <f>_xlfn.XLOOKUP(calls[[#This Row],[Customer ID]],customers[Customer ID],customers[City])</f>
        <v>Cleveland</v>
      </c>
      <c r="N19" s="3" t="str">
        <f>_xlfn.XLOOKUP(calls[[#This Row],[Customer ID]],customers[Customer ID],customers[Gedner])</f>
        <v>Female</v>
      </c>
      <c r="P19">
        <f>IF(calls[[#This Row],[Call number]]&lt;&gt;"",1,0)</f>
        <v>1</v>
      </c>
      <c r="Q19">
        <f>IF(calls[[#This Row],[Rating rounded]]=5,1,0)</f>
        <v>1</v>
      </c>
    </row>
    <row r="20" spans="2:21" x14ac:dyDescent="0.2">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c r="M20" s="7" t="str">
        <f>_xlfn.XLOOKUP(calls[[#This Row],[Customer ID]],customers[Customer ID],customers[City])</f>
        <v>Cleveland</v>
      </c>
      <c r="N20" s="3" t="str">
        <f>_xlfn.XLOOKUP(calls[[#This Row],[Customer ID]],customers[Customer ID],customers[Gedner])</f>
        <v>Female</v>
      </c>
      <c r="P20">
        <f>IF(calls[[#This Row],[Call number]]&lt;&gt;"",1,0)</f>
        <v>1</v>
      </c>
      <c r="Q20">
        <f>IF(calls[[#This Row],[Rating rounded]]=5,1,0)</f>
        <v>0</v>
      </c>
    </row>
    <row r="21" spans="2:21" x14ac:dyDescent="0.2">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c r="M21" s="7" t="str">
        <f>_xlfn.XLOOKUP(calls[[#This Row],[Customer ID]],customers[Customer ID],customers[City])</f>
        <v>Columbus</v>
      </c>
      <c r="N21" s="3" t="str">
        <f>_xlfn.XLOOKUP(calls[[#This Row],[Customer ID]],customers[Customer ID],customers[Gedner])</f>
        <v>Female</v>
      </c>
      <c r="P21">
        <f>IF(calls[[#This Row],[Call number]]&lt;&gt;"",1,0)</f>
        <v>1</v>
      </c>
      <c r="Q21">
        <f>IF(calls[[#This Row],[Rating rounded]]=5,1,0)</f>
        <v>0</v>
      </c>
    </row>
    <row r="22" spans="2:21" x14ac:dyDescent="0.2">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c r="M22" s="7" t="str">
        <f>_xlfn.XLOOKUP(calls[[#This Row],[Customer ID]],customers[Customer ID],customers[City])</f>
        <v>Cleveland</v>
      </c>
      <c r="N22" s="3" t="str">
        <f>_xlfn.XLOOKUP(calls[[#This Row],[Customer ID]],customers[Customer ID],customers[Gedner])</f>
        <v>Female</v>
      </c>
      <c r="P22">
        <f>IF(calls[[#This Row],[Call number]]&lt;&gt;"",1,0)</f>
        <v>1</v>
      </c>
      <c r="Q22">
        <f>IF(calls[[#This Row],[Rating rounded]]=5,1,0)</f>
        <v>0</v>
      </c>
    </row>
    <row r="23" spans="2:21" x14ac:dyDescent="0.2">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c r="M23" s="7" t="str">
        <f>_xlfn.XLOOKUP(calls[[#This Row],[Customer ID]],customers[Customer ID],customers[City])</f>
        <v>Columbus</v>
      </c>
      <c r="N23" s="3" t="str">
        <f>_xlfn.XLOOKUP(calls[[#This Row],[Customer ID]],customers[Customer ID],customers[Gedner])</f>
        <v>Male</v>
      </c>
      <c r="P23">
        <f>IF(calls[[#This Row],[Call number]]&lt;&gt;"",1,0)</f>
        <v>1</v>
      </c>
      <c r="Q23">
        <f>IF(calls[[#This Row],[Rating rounded]]=5,1,0)</f>
        <v>0</v>
      </c>
    </row>
    <row r="24" spans="2:21" x14ac:dyDescent="0.2">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c r="M24" s="7" t="str">
        <f>_xlfn.XLOOKUP(calls[[#This Row],[Customer ID]],customers[Customer ID],customers[City])</f>
        <v>Cincinnati</v>
      </c>
      <c r="N24" s="3" t="str">
        <f>_xlfn.XLOOKUP(calls[[#This Row],[Customer ID]],customers[Customer ID],customers[Gedner])</f>
        <v>Male</v>
      </c>
      <c r="P24">
        <f>IF(calls[[#This Row],[Call number]]&lt;&gt;"",1,0)</f>
        <v>1</v>
      </c>
      <c r="Q24">
        <f>IF(calls[[#This Row],[Rating rounded]]=5,1,0)</f>
        <v>1</v>
      </c>
    </row>
    <row r="25" spans="2:21" x14ac:dyDescent="0.2">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c r="M25" s="7" t="str">
        <f>_xlfn.XLOOKUP(calls[[#This Row],[Customer ID]],customers[Customer ID],customers[City])</f>
        <v>Cincinnati</v>
      </c>
      <c r="N25" s="3" t="str">
        <f>_xlfn.XLOOKUP(calls[[#This Row],[Customer ID]],customers[Customer ID],customers[Gedner])</f>
        <v>Male</v>
      </c>
      <c r="P25">
        <f>IF(calls[[#This Row],[Call number]]&lt;&gt;"",1,0)</f>
        <v>1</v>
      </c>
      <c r="Q25">
        <f>IF(calls[[#This Row],[Rating rounded]]=5,1,0)</f>
        <v>1</v>
      </c>
    </row>
    <row r="26" spans="2:21" x14ac:dyDescent="0.2">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c r="M26" s="7" t="str">
        <f>_xlfn.XLOOKUP(calls[[#This Row],[Customer ID]],customers[Customer ID],customers[City])</f>
        <v>Cincinnati</v>
      </c>
      <c r="N26" s="3" t="str">
        <f>_xlfn.XLOOKUP(calls[[#This Row],[Customer ID]],customers[Customer ID],customers[Gedner])</f>
        <v>Male</v>
      </c>
      <c r="P26">
        <f>IF(calls[[#This Row],[Call number]]&lt;&gt;"",1,0)</f>
        <v>1</v>
      </c>
      <c r="Q26">
        <f>IF(calls[[#This Row],[Rating rounded]]=5,1,0)</f>
        <v>1</v>
      </c>
    </row>
    <row r="27" spans="2:21" x14ac:dyDescent="0.2">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c r="M27" s="7" t="str">
        <f>_xlfn.XLOOKUP(calls[[#This Row],[Customer ID]],customers[Customer ID],customers[City])</f>
        <v>Cleveland</v>
      </c>
      <c r="N27" s="3" t="str">
        <f>_xlfn.XLOOKUP(calls[[#This Row],[Customer ID]],customers[Customer ID],customers[Gedner])</f>
        <v>Female</v>
      </c>
      <c r="P27">
        <f>IF(calls[[#This Row],[Call number]]&lt;&gt;"",1,0)</f>
        <v>1</v>
      </c>
      <c r="Q27">
        <f>IF(calls[[#This Row],[Rating rounded]]=5,1,0)</f>
        <v>0</v>
      </c>
    </row>
    <row r="28" spans="2:21" x14ac:dyDescent="0.2">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c r="M28" s="7" t="str">
        <f>_xlfn.XLOOKUP(calls[[#This Row],[Customer ID]],customers[Customer ID],customers[City])</f>
        <v>Cleveland</v>
      </c>
      <c r="N28" s="3" t="str">
        <f>_xlfn.XLOOKUP(calls[[#This Row],[Customer ID]],customers[Customer ID],customers[Gedner])</f>
        <v>Female</v>
      </c>
      <c r="P28">
        <f>IF(calls[[#This Row],[Call number]]&lt;&gt;"",1,0)</f>
        <v>1</v>
      </c>
      <c r="Q28">
        <f>IF(calls[[#This Row],[Rating rounded]]=5,1,0)</f>
        <v>0</v>
      </c>
    </row>
    <row r="29" spans="2:21" x14ac:dyDescent="0.2">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c r="M29" s="7" t="str">
        <f>_xlfn.XLOOKUP(calls[[#This Row],[Customer ID]],customers[Customer ID],customers[City])</f>
        <v>Cincinnati</v>
      </c>
      <c r="N29" s="3" t="str">
        <f>_xlfn.XLOOKUP(calls[[#This Row],[Customer ID]],customers[Customer ID],customers[Gedner])</f>
        <v>Female</v>
      </c>
      <c r="P29">
        <f>IF(calls[[#This Row],[Call number]]&lt;&gt;"",1,0)</f>
        <v>1</v>
      </c>
      <c r="Q29">
        <f>IF(calls[[#This Row],[Rating rounded]]=5,1,0)</f>
        <v>0</v>
      </c>
    </row>
    <row r="30" spans="2:21" x14ac:dyDescent="0.2">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c r="M30" s="7" t="str">
        <f>_xlfn.XLOOKUP(calls[[#This Row],[Customer ID]],customers[Customer ID],customers[City])</f>
        <v>Cleveland</v>
      </c>
      <c r="N30" s="3" t="str">
        <f>_xlfn.XLOOKUP(calls[[#This Row],[Customer ID]],customers[Customer ID],customers[Gedner])</f>
        <v>Male</v>
      </c>
      <c r="P30">
        <f>IF(calls[[#This Row],[Call number]]&lt;&gt;"",1,0)</f>
        <v>1</v>
      </c>
      <c r="Q30">
        <f>IF(calls[[#This Row],[Rating rounded]]=5,1,0)</f>
        <v>0</v>
      </c>
    </row>
    <row r="31" spans="2:21" x14ac:dyDescent="0.2">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c r="M31" s="7" t="str">
        <f>_xlfn.XLOOKUP(calls[[#This Row],[Customer ID]],customers[Customer ID],customers[City])</f>
        <v>Cincinnati</v>
      </c>
      <c r="N31" s="3" t="str">
        <f>_xlfn.XLOOKUP(calls[[#This Row],[Customer ID]],customers[Customer ID],customers[Gedner])</f>
        <v>Female</v>
      </c>
      <c r="P31">
        <f>IF(calls[[#This Row],[Call number]]&lt;&gt;"",1,0)</f>
        <v>1</v>
      </c>
      <c r="Q31">
        <f>IF(calls[[#This Row],[Rating rounded]]=5,1,0)</f>
        <v>1</v>
      </c>
    </row>
    <row r="32" spans="2:21" x14ac:dyDescent="0.2">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c r="M32" s="7" t="str">
        <f>_xlfn.XLOOKUP(calls[[#This Row],[Customer ID]],customers[Customer ID],customers[City])</f>
        <v>Columbus</v>
      </c>
      <c r="N32" s="3" t="str">
        <f>_xlfn.XLOOKUP(calls[[#This Row],[Customer ID]],customers[Customer ID],customers[Gedner])</f>
        <v>Female</v>
      </c>
      <c r="P32">
        <f>IF(calls[[#This Row],[Call number]]&lt;&gt;"",1,0)</f>
        <v>1</v>
      </c>
      <c r="Q32">
        <f>IF(calls[[#This Row],[Rating rounded]]=5,1,0)</f>
        <v>0</v>
      </c>
    </row>
    <row r="33" spans="2:17" x14ac:dyDescent="0.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c r="M33" s="7" t="str">
        <f>_xlfn.XLOOKUP(calls[[#This Row],[Customer ID]],customers[Customer ID],customers[City])</f>
        <v>Cleveland</v>
      </c>
      <c r="N33" s="3" t="str">
        <f>_xlfn.XLOOKUP(calls[[#This Row],[Customer ID]],customers[Customer ID],customers[Gedner])</f>
        <v>Female</v>
      </c>
      <c r="P33">
        <f>IF(calls[[#This Row],[Call number]]&lt;&gt;"",1,0)</f>
        <v>1</v>
      </c>
      <c r="Q33">
        <f>IF(calls[[#This Row],[Rating rounded]]=5,1,0)</f>
        <v>1</v>
      </c>
    </row>
    <row r="34" spans="2:17" x14ac:dyDescent="0.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c r="M34" s="7" t="str">
        <f>_xlfn.XLOOKUP(calls[[#This Row],[Customer ID]],customers[Customer ID],customers[City])</f>
        <v>Columbus</v>
      </c>
      <c r="N34" s="3" t="str">
        <f>_xlfn.XLOOKUP(calls[[#This Row],[Customer ID]],customers[Customer ID],customers[Gedner])</f>
        <v>Female</v>
      </c>
      <c r="P34">
        <f>IF(calls[[#This Row],[Call number]]&lt;&gt;"",1,0)</f>
        <v>1</v>
      </c>
      <c r="Q34">
        <f>IF(calls[[#This Row],[Rating rounded]]=5,1,0)</f>
        <v>0</v>
      </c>
    </row>
    <row r="35" spans="2:17" x14ac:dyDescent="0.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c r="M35" s="7" t="str">
        <f>_xlfn.XLOOKUP(calls[[#This Row],[Customer ID]],customers[Customer ID],customers[City])</f>
        <v>Cincinnati</v>
      </c>
      <c r="N35" s="3" t="str">
        <f>_xlfn.XLOOKUP(calls[[#This Row],[Customer ID]],customers[Customer ID],customers[Gedner])</f>
        <v>Female</v>
      </c>
      <c r="P35">
        <f>IF(calls[[#This Row],[Call number]]&lt;&gt;"",1,0)</f>
        <v>1</v>
      </c>
      <c r="Q35">
        <f>IF(calls[[#This Row],[Rating rounded]]=5,1,0)</f>
        <v>0</v>
      </c>
    </row>
    <row r="36" spans="2:17" x14ac:dyDescent="0.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c r="M36" s="7" t="str">
        <f>_xlfn.XLOOKUP(calls[[#This Row],[Customer ID]],customers[Customer ID],customers[City])</f>
        <v>Cincinnati</v>
      </c>
      <c r="N36" s="3" t="str">
        <f>_xlfn.XLOOKUP(calls[[#This Row],[Customer ID]],customers[Customer ID],customers[Gedner])</f>
        <v>Female</v>
      </c>
      <c r="P36">
        <f>IF(calls[[#This Row],[Call number]]&lt;&gt;"",1,0)</f>
        <v>1</v>
      </c>
      <c r="Q36">
        <f>IF(calls[[#This Row],[Rating rounded]]=5,1,0)</f>
        <v>1</v>
      </c>
    </row>
    <row r="37" spans="2:17" x14ac:dyDescent="0.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c r="M37" s="7" t="str">
        <f>_xlfn.XLOOKUP(calls[[#This Row],[Customer ID]],customers[Customer ID],customers[City])</f>
        <v>Columbus</v>
      </c>
      <c r="N37" s="3" t="str">
        <f>_xlfn.XLOOKUP(calls[[#This Row],[Customer ID]],customers[Customer ID],customers[Gedner])</f>
        <v>Male</v>
      </c>
      <c r="P37">
        <f>IF(calls[[#This Row],[Call number]]&lt;&gt;"",1,0)</f>
        <v>1</v>
      </c>
      <c r="Q37">
        <f>IF(calls[[#This Row],[Rating rounded]]=5,1,0)</f>
        <v>1</v>
      </c>
    </row>
    <row r="38" spans="2:17" x14ac:dyDescent="0.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c r="M38" s="7" t="str">
        <f>_xlfn.XLOOKUP(calls[[#This Row],[Customer ID]],customers[Customer ID],customers[City])</f>
        <v>Columbus</v>
      </c>
      <c r="N38" s="3" t="str">
        <f>_xlfn.XLOOKUP(calls[[#This Row],[Customer ID]],customers[Customer ID],customers[Gedner])</f>
        <v>Male</v>
      </c>
      <c r="P38">
        <f>IF(calls[[#This Row],[Call number]]&lt;&gt;"",1,0)</f>
        <v>1</v>
      </c>
      <c r="Q38">
        <f>IF(calls[[#This Row],[Rating rounded]]=5,1,0)</f>
        <v>1</v>
      </c>
    </row>
    <row r="39" spans="2:17" x14ac:dyDescent="0.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c r="M39" s="7" t="str">
        <f>_xlfn.XLOOKUP(calls[[#This Row],[Customer ID]],customers[Customer ID],customers[City])</f>
        <v>Columbus</v>
      </c>
      <c r="N39" s="3" t="str">
        <f>_xlfn.XLOOKUP(calls[[#This Row],[Customer ID]],customers[Customer ID],customers[Gedner])</f>
        <v>Female</v>
      </c>
      <c r="P39">
        <f>IF(calls[[#This Row],[Call number]]&lt;&gt;"",1,0)</f>
        <v>1</v>
      </c>
      <c r="Q39">
        <f>IF(calls[[#This Row],[Rating rounded]]=5,1,0)</f>
        <v>0</v>
      </c>
    </row>
    <row r="40" spans="2:17" x14ac:dyDescent="0.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c r="M40" s="7" t="str">
        <f>_xlfn.XLOOKUP(calls[[#This Row],[Customer ID]],customers[Customer ID],customers[City])</f>
        <v>Cleveland</v>
      </c>
      <c r="N40" s="3" t="str">
        <f>_xlfn.XLOOKUP(calls[[#This Row],[Customer ID]],customers[Customer ID],customers[Gedner])</f>
        <v>Female</v>
      </c>
      <c r="P40">
        <f>IF(calls[[#This Row],[Call number]]&lt;&gt;"",1,0)</f>
        <v>1</v>
      </c>
      <c r="Q40">
        <f>IF(calls[[#This Row],[Rating rounded]]=5,1,0)</f>
        <v>0</v>
      </c>
    </row>
    <row r="41" spans="2:17" x14ac:dyDescent="0.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c r="M41" s="7" t="str">
        <f>_xlfn.XLOOKUP(calls[[#This Row],[Customer ID]],customers[Customer ID],customers[City])</f>
        <v>Cincinnati</v>
      </c>
      <c r="N41" s="3" t="str">
        <f>_xlfn.XLOOKUP(calls[[#This Row],[Customer ID]],customers[Customer ID],customers[Gedner])</f>
        <v>Male</v>
      </c>
      <c r="P41">
        <f>IF(calls[[#This Row],[Call number]]&lt;&gt;"",1,0)</f>
        <v>1</v>
      </c>
      <c r="Q41">
        <f>IF(calls[[#This Row],[Rating rounded]]=5,1,0)</f>
        <v>0</v>
      </c>
    </row>
    <row r="42" spans="2:17" x14ac:dyDescent="0.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c r="M42" s="7" t="str">
        <f>_xlfn.XLOOKUP(calls[[#This Row],[Customer ID]],customers[Customer ID],customers[City])</f>
        <v>Cleveland</v>
      </c>
      <c r="N42" s="3" t="str">
        <f>_xlfn.XLOOKUP(calls[[#This Row],[Customer ID]],customers[Customer ID],customers[Gedner])</f>
        <v>Female</v>
      </c>
      <c r="P42">
        <f>IF(calls[[#This Row],[Call number]]&lt;&gt;"",1,0)</f>
        <v>1</v>
      </c>
      <c r="Q42">
        <f>IF(calls[[#This Row],[Rating rounded]]=5,1,0)</f>
        <v>0</v>
      </c>
    </row>
    <row r="43" spans="2:17" x14ac:dyDescent="0.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c r="M43" s="7" t="str">
        <f>_xlfn.XLOOKUP(calls[[#This Row],[Customer ID]],customers[Customer ID],customers[City])</f>
        <v>Columbus</v>
      </c>
      <c r="N43" s="3" t="str">
        <f>_xlfn.XLOOKUP(calls[[#This Row],[Customer ID]],customers[Customer ID],customers[Gedner])</f>
        <v>Female</v>
      </c>
      <c r="P43">
        <f>IF(calls[[#This Row],[Call number]]&lt;&gt;"",1,0)</f>
        <v>1</v>
      </c>
      <c r="Q43">
        <f>IF(calls[[#This Row],[Rating rounded]]=5,1,0)</f>
        <v>1</v>
      </c>
    </row>
    <row r="44" spans="2:17" x14ac:dyDescent="0.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c r="M44" s="7" t="str">
        <f>_xlfn.XLOOKUP(calls[[#This Row],[Customer ID]],customers[Customer ID],customers[City])</f>
        <v>Cincinnati</v>
      </c>
      <c r="N44" s="3" t="str">
        <f>_xlfn.XLOOKUP(calls[[#This Row],[Customer ID]],customers[Customer ID],customers[Gedner])</f>
        <v>Male</v>
      </c>
      <c r="P44">
        <f>IF(calls[[#This Row],[Call number]]&lt;&gt;"",1,0)</f>
        <v>1</v>
      </c>
      <c r="Q44">
        <f>IF(calls[[#This Row],[Rating rounded]]=5,1,0)</f>
        <v>1</v>
      </c>
    </row>
    <row r="45" spans="2:17" x14ac:dyDescent="0.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c r="M45" s="7" t="str">
        <f>_xlfn.XLOOKUP(calls[[#This Row],[Customer ID]],customers[Customer ID],customers[City])</f>
        <v>Cleveland</v>
      </c>
      <c r="N45" s="3" t="str">
        <f>_xlfn.XLOOKUP(calls[[#This Row],[Customer ID]],customers[Customer ID],customers[Gedner])</f>
        <v>Female</v>
      </c>
      <c r="P45">
        <f>IF(calls[[#This Row],[Call number]]&lt;&gt;"",1,0)</f>
        <v>1</v>
      </c>
      <c r="Q45">
        <f>IF(calls[[#This Row],[Rating rounded]]=5,1,0)</f>
        <v>1</v>
      </c>
    </row>
    <row r="46" spans="2:17" x14ac:dyDescent="0.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c r="M46" s="7" t="str">
        <f>_xlfn.XLOOKUP(calls[[#This Row],[Customer ID]],customers[Customer ID],customers[City])</f>
        <v>Columbus</v>
      </c>
      <c r="N46" s="3" t="str">
        <f>_xlfn.XLOOKUP(calls[[#This Row],[Customer ID]],customers[Customer ID],customers[Gedner])</f>
        <v>Female</v>
      </c>
      <c r="P46">
        <f>IF(calls[[#This Row],[Call number]]&lt;&gt;"",1,0)</f>
        <v>1</v>
      </c>
      <c r="Q46">
        <f>IF(calls[[#This Row],[Rating rounded]]=5,1,0)</f>
        <v>0</v>
      </c>
    </row>
    <row r="47" spans="2:17" x14ac:dyDescent="0.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c r="M47" s="7" t="str">
        <f>_xlfn.XLOOKUP(calls[[#This Row],[Customer ID]],customers[Customer ID],customers[City])</f>
        <v>Cleveland</v>
      </c>
      <c r="N47" s="3" t="str">
        <f>_xlfn.XLOOKUP(calls[[#This Row],[Customer ID]],customers[Customer ID],customers[Gedner])</f>
        <v>Female</v>
      </c>
      <c r="P47">
        <f>IF(calls[[#This Row],[Call number]]&lt;&gt;"",1,0)</f>
        <v>1</v>
      </c>
      <c r="Q47">
        <f>IF(calls[[#This Row],[Rating rounded]]=5,1,0)</f>
        <v>0</v>
      </c>
    </row>
    <row r="48" spans="2:17" x14ac:dyDescent="0.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c r="M48" s="7" t="str">
        <f>_xlfn.XLOOKUP(calls[[#This Row],[Customer ID]],customers[Customer ID],customers[City])</f>
        <v>Columbus</v>
      </c>
      <c r="N48" s="3" t="str">
        <f>_xlfn.XLOOKUP(calls[[#This Row],[Customer ID]],customers[Customer ID],customers[Gedner])</f>
        <v>Male</v>
      </c>
      <c r="P48">
        <f>IF(calls[[#This Row],[Call number]]&lt;&gt;"",1,0)</f>
        <v>1</v>
      </c>
      <c r="Q48">
        <f>IF(calls[[#This Row],[Rating rounded]]=5,1,0)</f>
        <v>0</v>
      </c>
    </row>
    <row r="49" spans="2:17" x14ac:dyDescent="0.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c r="M49" s="7" t="str">
        <f>_xlfn.XLOOKUP(calls[[#This Row],[Customer ID]],customers[Customer ID],customers[City])</f>
        <v>Cincinnati</v>
      </c>
      <c r="N49" s="3" t="str">
        <f>_xlfn.XLOOKUP(calls[[#This Row],[Customer ID]],customers[Customer ID],customers[Gedner])</f>
        <v>Female</v>
      </c>
      <c r="P49">
        <f>IF(calls[[#This Row],[Call number]]&lt;&gt;"",1,0)</f>
        <v>1</v>
      </c>
      <c r="Q49">
        <f>IF(calls[[#This Row],[Rating rounded]]=5,1,0)</f>
        <v>0</v>
      </c>
    </row>
    <row r="50" spans="2:17" x14ac:dyDescent="0.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c r="M50" s="7" t="str">
        <f>_xlfn.XLOOKUP(calls[[#This Row],[Customer ID]],customers[Customer ID],customers[City])</f>
        <v>Columbus</v>
      </c>
      <c r="N50" s="3" t="str">
        <f>_xlfn.XLOOKUP(calls[[#This Row],[Customer ID]],customers[Customer ID],customers[Gedner])</f>
        <v>Female</v>
      </c>
      <c r="P50">
        <f>IF(calls[[#This Row],[Call number]]&lt;&gt;"",1,0)</f>
        <v>1</v>
      </c>
      <c r="Q50">
        <f>IF(calls[[#This Row],[Rating rounded]]=5,1,0)</f>
        <v>0</v>
      </c>
    </row>
    <row r="51" spans="2:17" x14ac:dyDescent="0.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c r="M51" s="7" t="str">
        <f>_xlfn.XLOOKUP(calls[[#This Row],[Customer ID]],customers[Customer ID],customers[City])</f>
        <v>Cincinnati</v>
      </c>
      <c r="N51" s="3" t="str">
        <f>_xlfn.XLOOKUP(calls[[#This Row],[Customer ID]],customers[Customer ID],customers[Gedner])</f>
        <v>Male</v>
      </c>
      <c r="P51">
        <f>IF(calls[[#This Row],[Call number]]&lt;&gt;"",1,0)</f>
        <v>1</v>
      </c>
      <c r="Q51">
        <f>IF(calls[[#This Row],[Rating rounded]]=5,1,0)</f>
        <v>0</v>
      </c>
    </row>
    <row r="52" spans="2:17" x14ac:dyDescent="0.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c r="M52" s="7" t="str">
        <f>_xlfn.XLOOKUP(calls[[#This Row],[Customer ID]],customers[Customer ID],customers[City])</f>
        <v>Cincinnati</v>
      </c>
      <c r="N52" s="3" t="str">
        <f>_xlfn.XLOOKUP(calls[[#This Row],[Customer ID]],customers[Customer ID],customers[Gedner])</f>
        <v>Male</v>
      </c>
      <c r="P52">
        <f>IF(calls[[#This Row],[Call number]]&lt;&gt;"",1,0)</f>
        <v>1</v>
      </c>
      <c r="Q52">
        <f>IF(calls[[#This Row],[Rating rounded]]=5,1,0)</f>
        <v>0</v>
      </c>
    </row>
    <row r="53" spans="2:17" x14ac:dyDescent="0.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c r="M53" s="7" t="str">
        <f>_xlfn.XLOOKUP(calls[[#This Row],[Customer ID]],customers[Customer ID],customers[City])</f>
        <v>Cincinnati</v>
      </c>
      <c r="N53" s="3" t="str">
        <f>_xlfn.XLOOKUP(calls[[#This Row],[Customer ID]],customers[Customer ID],customers[Gedner])</f>
        <v>Female</v>
      </c>
      <c r="P53">
        <f>IF(calls[[#This Row],[Call number]]&lt;&gt;"",1,0)</f>
        <v>1</v>
      </c>
      <c r="Q53">
        <f>IF(calls[[#This Row],[Rating rounded]]=5,1,0)</f>
        <v>0</v>
      </c>
    </row>
    <row r="54" spans="2:17" x14ac:dyDescent="0.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c r="M54" s="7" t="str">
        <f>_xlfn.XLOOKUP(calls[[#This Row],[Customer ID]],customers[Customer ID],customers[City])</f>
        <v>Cleveland</v>
      </c>
      <c r="N54" s="3" t="str">
        <f>_xlfn.XLOOKUP(calls[[#This Row],[Customer ID]],customers[Customer ID],customers[Gedner])</f>
        <v>Male</v>
      </c>
      <c r="P54">
        <f>IF(calls[[#This Row],[Call number]]&lt;&gt;"",1,0)</f>
        <v>1</v>
      </c>
      <c r="Q54">
        <f>IF(calls[[#This Row],[Rating rounded]]=5,1,0)</f>
        <v>0</v>
      </c>
    </row>
    <row r="55" spans="2:17" x14ac:dyDescent="0.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c r="M55" s="7" t="str">
        <f>_xlfn.XLOOKUP(calls[[#This Row],[Customer ID]],customers[Customer ID],customers[City])</f>
        <v>Cleveland</v>
      </c>
      <c r="N55" s="3" t="str">
        <f>_xlfn.XLOOKUP(calls[[#This Row],[Customer ID]],customers[Customer ID],customers[Gedner])</f>
        <v>Female</v>
      </c>
      <c r="P55">
        <f>IF(calls[[#This Row],[Call number]]&lt;&gt;"",1,0)</f>
        <v>1</v>
      </c>
      <c r="Q55">
        <f>IF(calls[[#This Row],[Rating rounded]]=5,1,0)</f>
        <v>0</v>
      </c>
    </row>
    <row r="56" spans="2:17" x14ac:dyDescent="0.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c r="M56" s="7" t="str">
        <f>_xlfn.XLOOKUP(calls[[#This Row],[Customer ID]],customers[Customer ID],customers[City])</f>
        <v>Cleveland</v>
      </c>
      <c r="N56" s="3" t="str">
        <f>_xlfn.XLOOKUP(calls[[#This Row],[Customer ID]],customers[Customer ID],customers[Gedner])</f>
        <v>Female</v>
      </c>
      <c r="P56">
        <f>IF(calls[[#This Row],[Call number]]&lt;&gt;"",1,0)</f>
        <v>1</v>
      </c>
      <c r="Q56">
        <f>IF(calls[[#This Row],[Rating rounded]]=5,1,0)</f>
        <v>1</v>
      </c>
    </row>
    <row r="57" spans="2:17" x14ac:dyDescent="0.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c r="M57" s="7" t="str">
        <f>_xlfn.XLOOKUP(calls[[#This Row],[Customer ID]],customers[Customer ID],customers[City])</f>
        <v>Cleveland</v>
      </c>
      <c r="N57" s="3" t="str">
        <f>_xlfn.XLOOKUP(calls[[#This Row],[Customer ID]],customers[Customer ID],customers[Gedner])</f>
        <v>Female</v>
      </c>
      <c r="P57">
        <f>IF(calls[[#This Row],[Call number]]&lt;&gt;"",1,0)</f>
        <v>1</v>
      </c>
      <c r="Q57">
        <f>IF(calls[[#This Row],[Rating rounded]]=5,1,0)</f>
        <v>1</v>
      </c>
    </row>
    <row r="58" spans="2:17" x14ac:dyDescent="0.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c r="M58" s="7" t="str">
        <f>_xlfn.XLOOKUP(calls[[#This Row],[Customer ID]],customers[Customer ID],customers[City])</f>
        <v>Cleveland</v>
      </c>
      <c r="N58" s="3" t="str">
        <f>_xlfn.XLOOKUP(calls[[#This Row],[Customer ID]],customers[Customer ID],customers[Gedner])</f>
        <v>Female</v>
      </c>
      <c r="P58">
        <f>IF(calls[[#This Row],[Call number]]&lt;&gt;"",1,0)</f>
        <v>1</v>
      </c>
      <c r="Q58">
        <f>IF(calls[[#This Row],[Rating rounded]]=5,1,0)</f>
        <v>1</v>
      </c>
    </row>
    <row r="59" spans="2:17" x14ac:dyDescent="0.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c r="M59" s="7" t="str">
        <f>_xlfn.XLOOKUP(calls[[#This Row],[Customer ID]],customers[Customer ID],customers[City])</f>
        <v>Cincinnati</v>
      </c>
      <c r="N59" s="3" t="str">
        <f>_xlfn.XLOOKUP(calls[[#This Row],[Customer ID]],customers[Customer ID],customers[Gedner])</f>
        <v>Female</v>
      </c>
      <c r="P59">
        <f>IF(calls[[#This Row],[Call number]]&lt;&gt;"",1,0)</f>
        <v>1</v>
      </c>
      <c r="Q59">
        <f>IF(calls[[#This Row],[Rating rounded]]=5,1,0)</f>
        <v>1</v>
      </c>
    </row>
    <row r="60" spans="2:17" x14ac:dyDescent="0.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c r="M60" s="7" t="str">
        <f>_xlfn.XLOOKUP(calls[[#This Row],[Customer ID]],customers[Customer ID],customers[City])</f>
        <v>Cleveland</v>
      </c>
      <c r="N60" s="3" t="str">
        <f>_xlfn.XLOOKUP(calls[[#This Row],[Customer ID]],customers[Customer ID],customers[Gedner])</f>
        <v>Female</v>
      </c>
      <c r="P60">
        <f>IF(calls[[#This Row],[Call number]]&lt;&gt;"",1,0)</f>
        <v>1</v>
      </c>
      <c r="Q60">
        <f>IF(calls[[#This Row],[Rating rounded]]=5,1,0)</f>
        <v>0</v>
      </c>
    </row>
    <row r="61" spans="2:17" x14ac:dyDescent="0.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c r="M61" s="7" t="str">
        <f>_xlfn.XLOOKUP(calls[[#This Row],[Customer ID]],customers[Customer ID],customers[City])</f>
        <v>Cleveland</v>
      </c>
      <c r="N61" s="3" t="str">
        <f>_xlfn.XLOOKUP(calls[[#This Row],[Customer ID]],customers[Customer ID],customers[Gedner])</f>
        <v>Female</v>
      </c>
      <c r="P61">
        <f>IF(calls[[#This Row],[Call number]]&lt;&gt;"",1,0)</f>
        <v>1</v>
      </c>
      <c r="Q61">
        <f>IF(calls[[#This Row],[Rating rounded]]=5,1,0)</f>
        <v>0</v>
      </c>
    </row>
    <row r="62" spans="2:17" x14ac:dyDescent="0.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c r="M62" s="7" t="str">
        <f>_xlfn.XLOOKUP(calls[[#This Row],[Customer ID]],customers[Customer ID],customers[City])</f>
        <v>Cincinnati</v>
      </c>
      <c r="N62" s="3" t="str">
        <f>_xlfn.XLOOKUP(calls[[#This Row],[Customer ID]],customers[Customer ID],customers[Gedner])</f>
        <v>Female</v>
      </c>
      <c r="P62">
        <f>IF(calls[[#This Row],[Call number]]&lt;&gt;"",1,0)</f>
        <v>1</v>
      </c>
      <c r="Q62">
        <f>IF(calls[[#This Row],[Rating rounded]]=5,1,0)</f>
        <v>0</v>
      </c>
    </row>
    <row r="63" spans="2:17" x14ac:dyDescent="0.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c r="M63" s="7" t="str">
        <f>_xlfn.XLOOKUP(calls[[#This Row],[Customer ID]],customers[Customer ID],customers[City])</f>
        <v>Cleveland</v>
      </c>
      <c r="N63" s="3" t="str">
        <f>_xlfn.XLOOKUP(calls[[#This Row],[Customer ID]],customers[Customer ID],customers[Gedner])</f>
        <v>Female</v>
      </c>
      <c r="P63">
        <f>IF(calls[[#This Row],[Call number]]&lt;&gt;"",1,0)</f>
        <v>1</v>
      </c>
      <c r="Q63">
        <f>IF(calls[[#This Row],[Rating rounded]]=5,1,0)</f>
        <v>1</v>
      </c>
    </row>
    <row r="64" spans="2:17" x14ac:dyDescent="0.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c r="M64" s="7" t="str">
        <f>_xlfn.XLOOKUP(calls[[#This Row],[Customer ID]],customers[Customer ID],customers[City])</f>
        <v>Cleveland</v>
      </c>
      <c r="N64" s="3" t="str">
        <f>_xlfn.XLOOKUP(calls[[#This Row],[Customer ID]],customers[Customer ID],customers[Gedner])</f>
        <v>Female</v>
      </c>
      <c r="P64">
        <f>IF(calls[[#This Row],[Call number]]&lt;&gt;"",1,0)</f>
        <v>1</v>
      </c>
      <c r="Q64">
        <f>IF(calls[[#This Row],[Rating rounded]]=5,1,0)</f>
        <v>0</v>
      </c>
    </row>
    <row r="65" spans="2:17" x14ac:dyDescent="0.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c r="M65" s="7" t="str">
        <f>_xlfn.XLOOKUP(calls[[#This Row],[Customer ID]],customers[Customer ID],customers[City])</f>
        <v>Cleveland</v>
      </c>
      <c r="N65" s="3" t="str">
        <f>_xlfn.XLOOKUP(calls[[#This Row],[Customer ID]],customers[Customer ID],customers[Gedner])</f>
        <v>Female</v>
      </c>
      <c r="P65">
        <f>IF(calls[[#This Row],[Call number]]&lt;&gt;"",1,0)</f>
        <v>1</v>
      </c>
      <c r="Q65">
        <f>IF(calls[[#This Row],[Rating rounded]]=5,1,0)</f>
        <v>0</v>
      </c>
    </row>
    <row r="66" spans="2:17" x14ac:dyDescent="0.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c r="M66" s="7" t="str">
        <f>_xlfn.XLOOKUP(calls[[#This Row],[Customer ID]],customers[Customer ID],customers[City])</f>
        <v>Cleveland</v>
      </c>
      <c r="N66" s="3" t="str">
        <f>_xlfn.XLOOKUP(calls[[#This Row],[Customer ID]],customers[Customer ID],customers[Gedner])</f>
        <v>Female</v>
      </c>
      <c r="P66">
        <f>IF(calls[[#This Row],[Call number]]&lt;&gt;"",1,0)</f>
        <v>1</v>
      </c>
      <c r="Q66">
        <f>IF(calls[[#This Row],[Rating rounded]]=5,1,0)</f>
        <v>1</v>
      </c>
    </row>
    <row r="67" spans="2:17" x14ac:dyDescent="0.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c r="M67" s="7" t="str">
        <f>_xlfn.XLOOKUP(calls[[#This Row],[Customer ID]],customers[Customer ID],customers[City])</f>
        <v>Cleveland</v>
      </c>
      <c r="N67" s="3" t="str">
        <f>_xlfn.XLOOKUP(calls[[#This Row],[Customer ID]],customers[Customer ID],customers[Gedner])</f>
        <v>Female</v>
      </c>
      <c r="P67">
        <f>IF(calls[[#This Row],[Call number]]&lt;&gt;"",1,0)</f>
        <v>1</v>
      </c>
      <c r="Q67">
        <f>IF(calls[[#This Row],[Rating rounded]]=5,1,0)</f>
        <v>0</v>
      </c>
    </row>
    <row r="68" spans="2:17" x14ac:dyDescent="0.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c r="M68" s="7" t="str">
        <f>_xlfn.XLOOKUP(calls[[#This Row],[Customer ID]],customers[Customer ID],customers[City])</f>
        <v>Columbus</v>
      </c>
      <c r="N68" s="3" t="str">
        <f>_xlfn.XLOOKUP(calls[[#This Row],[Customer ID]],customers[Customer ID],customers[Gedner])</f>
        <v>Male</v>
      </c>
      <c r="P68">
        <f>IF(calls[[#This Row],[Call number]]&lt;&gt;"",1,0)</f>
        <v>1</v>
      </c>
      <c r="Q68">
        <f>IF(calls[[#This Row],[Rating rounded]]=5,1,0)</f>
        <v>0</v>
      </c>
    </row>
    <row r="69" spans="2:17" x14ac:dyDescent="0.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c r="M69" s="7" t="str">
        <f>_xlfn.XLOOKUP(calls[[#This Row],[Customer ID]],customers[Customer ID],customers[City])</f>
        <v>Cincinnati</v>
      </c>
      <c r="N69" s="3" t="str">
        <f>_xlfn.XLOOKUP(calls[[#This Row],[Customer ID]],customers[Customer ID],customers[Gedner])</f>
        <v>Male</v>
      </c>
      <c r="P69">
        <f>IF(calls[[#This Row],[Call number]]&lt;&gt;"",1,0)</f>
        <v>1</v>
      </c>
      <c r="Q69">
        <f>IF(calls[[#This Row],[Rating rounded]]=5,1,0)</f>
        <v>0</v>
      </c>
    </row>
    <row r="70" spans="2:17" x14ac:dyDescent="0.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c r="M70" s="7" t="str">
        <f>_xlfn.XLOOKUP(calls[[#This Row],[Customer ID]],customers[Customer ID],customers[City])</f>
        <v>Cleveland</v>
      </c>
      <c r="N70" s="3" t="str">
        <f>_xlfn.XLOOKUP(calls[[#This Row],[Customer ID]],customers[Customer ID],customers[Gedner])</f>
        <v>Female</v>
      </c>
      <c r="P70">
        <f>IF(calls[[#This Row],[Call number]]&lt;&gt;"",1,0)</f>
        <v>1</v>
      </c>
      <c r="Q70">
        <f>IF(calls[[#This Row],[Rating rounded]]=5,1,0)</f>
        <v>0</v>
      </c>
    </row>
    <row r="71" spans="2:17" x14ac:dyDescent="0.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c r="M71" s="7" t="str">
        <f>_xlfn.XLOOKUP(calls[[#This Row],[Customer ID]],customers[Customer ID],customers[City])</f>
        <v>Cleveland</v>
      </c>
      <c r="N71" s="3" t="str">
        <f>_xlfn.XLOOKUP(calls[[#This Row],[Customer ID]],customers[Customer ID],customers[Gedner])</f>
        <v>Female</v>
      </c>
      <c r="P71">
        <f>IF(calls[[#This Row],[Call number]]&lt;&gt;"",1,0)</f>
        <v>1</v>
      </c>
      <c r="Q71">
        <f>IF(calls[[#This Row],[Rating rounded]]=5,1,0)</f>
        <v>0</v>
      </c>
    </row>
    <row r="72" spans="2:17" x14ac:dyDescent="0.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c r="M72" s="7" t="str">
        <f>_xlfn.XLOOKUP(calls[[#This Row],[Customer ID]],customers[Customer ID],customers[City])</f>
        <v>Columbus</v>
      </c>
      <c r="N72" s="3" t="str">
        <f>_xlfn.XLOOKUP(calls[[#This Row],[Customer ID]],customers[Customer ID],customers[Gedner])</f>
        <v>Male</v>
      </c>
      <c r="P72">
        <f>IF(calls[[#This Row],[Call number]]&lt;&gt;"",1,0)</f>
        <v>1</v>
      </c>
      <c r="Q72">
        <f>IF(calls[[#This Row],[Rating rounded]]=5,1,0)</f>
        <v>0</v>
      </c>
    </row>
    <row r="73" spans="2:17" x14ac:dyDescent="0.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c r="M73" s="7" t="str">
        <f>_xlfn.XLOOKUP(calls[[#This Row],[Customer ID]],customers[Customer ID],customers[City])</f>
        <v>Columbus</v>
      </c>
      <c r="N73" s="3" t="str">
        <f>_xlfn.XLOOKUP(calls[[#This Row],[Customer ID]],customers[Customer ID],customers[Gedner])</f>
        <v>Male</v>
      </c>
      <c r="P73">
        <f>IF(calls[[#This Row],[Call number]]&lt;&gt;"",1,0)</f>
        <v>1</v>
      </c>
      <c r="Q73">
        <f>IF(calls[[#This Row],[Rating rounded]]=5,1,0)</f>
        <v>0</v>
      </c>
    </row>
    <row r="74" spans="2:17" x14ac:dyDescent="0.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c r="M74" s="7" t="str">
        <f>_xlfn.XLOOKUP(calls[[#This Row],[Customer ID]],customers[Customer ID],customers[City])</f>
        <v>Columbus</v>
      </c>
      <c r="N74" s="3" t="str">
        <f>_xlfn.XLOOKUP(calls[[#This Row],[Customer ID]],customers[Customer ID],customers[Gedner])</f>
        <v>Male</v>
      </c>
      <c r="P74">
        <f>IF(calls[[#This Row],[Call number]]&lt;&gt;"",1,0)</f>
        <v>1</v>
      </c>
      <c r="Q74">
        <f>IF(calls[[#This Row],[Rating rounded]]=5,1,0)</f>
        <v>0</v>
      </c>
    </row>
    <row r="75" spans="2:17" x14ac:dyDescent="0.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c r="M75" s="7" t="str">
        <f>_xlfn.XLOOKUP(calls[[#This Row],[Customer ID]],customers[Customer ID],customers[City])</f>
        <v>Columbus</v>
      </c>
      <c r="N75" s="3" t="str">
        <f>_xlfn.XLOOKUP(calls[[#This Row],[Customer ID]],customers[Customer ID],customers[Gedner])</f>
        <v>Male</v>
      </c>
      <c r="P75">
        <f>IF(calls[[#This Row],[Call number]]&lt;&gt;"",1,0)</f>
        <v>1</v>
      </c>
      <c r="Q75">
        <f>IF(calls[[#This Row],[Rating rounded]]=5,1,0)</f>
        <v>1</v>
      </c>
    </row>
    <row r="76" spans="2:17" x14ac:dyDescent="0.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c r="M76" s="7" t="str">
        <f>_xlfn.XLOOKUP(calls[[#This Row],[Customer ID]],customers[Customer ID],customers[City])</f>
        <v>Cleveland</v>
      </c>
      <c r="N76" s="3" t="str">
        <f>_xlfn.XLOOKUP(calls[[#This Row],[Customer ID]],customers[Customer ID],customers[Gedner])</f>
        <v>Female</v>
      </c>
      <c r="P76">
        <f>IF(calls[[#This Row],[Call number]]&lt;&gt;"",1,0)</f>
        <v>1</v>
      </c>
      <c r="Q76">
        <f>IF(calls[[#This Row],[Rating rounded]]=5,1,0)</f>
        <v>0</v>
      </c>
    </row>
    <row r="77" spans="2:17" x14ac:dyDescent="0.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c r="M77" s="7" t="str">
        <f>_xlfn.XLOOKUP(calls[[#This Row],[Customer ID]],customers[Customer ID],customers[City])</f>
        <v>Cleveland</v>
      </c>
      <c r="N77" s="3" t="str">
        <f>_xlfn.XLOOKUP(calls[[#This Row],[Customer ID]],customers[Customer ID],customers[Gedner])</f>
        <v>Female</v>
      </c>
      <c r="P77">
        <f>IF(calls[[#This Row],[Call number]]&lt;&gt;"",1,0)</f>
        <v>1</v>
      </c>
      <c r="Q77">
        <f>IF(calls[[#This Row],[Rating rounded]]=5,1,0)</f>
        <v>0</v>
      </c>
    </row>
    <row r="78" spans="2:17" x14ac:dyDescent="0.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c r="M78" s="7" t="str">
        <f>_xlfn.XLOOKUP(calls[[#This Row],[Customer ID]],customers[Customer ID],customers[City])</f>
        <v>Columbus</v>
      </c>
      <c r="N78" s="3" t="str">
        <f>_xlfn.XLOOKUP(calls[[#This Row],[Customer ID]],customers[Customer ID],customers[Gedner])</f>
        <v>Male</v>
      </c>
      <c r="P78">
        <f>IF(calls[[#This Row],[Call number]]&lt;&gt;"",1,0)</f>
        <v>1</v>
      </c>
      <c r="Q78">
        <f>IF(calls[[#This Row],[Rating rounded]]=5,1,0)</f>
        <v>0</v>
      </c>
    </row>
    <row r="79" spans="2:17" x14ac:dyDescent="0.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c r="M79" s="7" t="str">
        <f>_xlfn.XLOOKUP(calls[[#This Row],[Customer ID]],customers[Customer ID],customers[City])</f>
        <v>Cincinnati</v>
      </c>
      <c r="N79" s="3" t="str">
        <f>_xlfn.XLOOKUP(calls[[#This Row],[Customer ID]],customers[Customer ID],customers[Gedner])</f>
        <v>Female</v>
      </c>
      <c r="P79">
        <f>IF(calls[[#This Row],[Call number]]&lt;&gt;"",1,0)</f>
        <v>1</v>
      </c>
      <c r="Q79">
        <f>IF(calls[[#This Row],[Rating rounded]]=5,1,0)</f>
        <v>0</v>
      </c>
    </row>
    <row r="80" spans="2:17" x14ac:dyDescent="0.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c r="M80" s="7" t="str">
        <f>_xlfn.XLOOKUP(calls[[#This Row],[Customer ID]],customers[Customer ID],customers[City])</f>
        <v>Cleveland</v>
      </c>
      <c r="N80" s="3" t="str">
        <f>_xlfn.XLOOKUP(calls[[#This Row],[Customer ID]],customers[Customer ID],customers[Gedner])</f>
        <v>Female</v>
      </c>
      <c r="P80">
        <f>IF(calls[[#This Row],[Call number]]&lt;&gt;"",1,0)</f>
        <v>1</v>
      </c>
      <c r="Q80">
        <f>IF(calls[[#This Row],[Rating rounded]]=5,1,0)</f>
        <v>0</v>
      </c>
    </row>
    <row r="81" spans="2:17" x14ac:dyDescent="0.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c r="M81" s="7" t="str">
        <f>_xlfn.XLOOKUP(calls[[#This Row],[Customer ID]],customers[Customer ID],customers[City])</f>
        <v>Cincinnati</v>
      </c>
      <c r="N81" s="3" t="str">
        <f>_xlfn.XLOOKUP(calls[[#This Row],[Customer ID]],customers[Customer ID],customers[Gedner])</f>
        <v>Male</v>
      </c>
      <c r="P81">
        <f>IF(calls[[#This Row],[Call number]]&lt;&gt;"",1,0)</f>
        <v>1</v>
      </c>
      <c r="Q81">
        <f>IF(calls[[#This Row],[Rating rounded]]=5,1,0)</f>
        <v>1</v>
      </c>
    </row>
    <row r="82" spans="2:17" x14ac:dyDescent="0.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c r="M82" s="7" t="str">
        <f>_xlfn.XLOOKUP(calls[[#This Row],[Customer ID]],customers[Customer ID],customers[City])</f>
        <v>Cincinnati</v>
      </c>
      <c r="N82" s="3" t="str">
        <f>_xlfn.XLOOKUP(calls[[#This Row],[Customer ID]],customers[Customer ID],customers[Gedner])</f>
        <v>Female</v>
      </c>
      <c r="P82">
        <f>IF(calls[[#This Row],[Call number]]&lt;&gt;"",1,0)</f>
        <v>1</v>
      </c>
      <c r="Q82">
        <f>IF(calls[[#This Row],[Rating rounded]]=5,1,0)</f>
        <v>0</v>
      </c>
    </row>
    <row r="83" spans="2:17" x14ac:dyDescent="0.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c r="M83" s="7" t="str">
        <f>_xlfn.XLOOKUP(calls[[#This Row],[Customer ID]],customers[Customer ID],customers[City])</f>
        <v>Columbus</v>
      </c>
      <c r="N83" s="3" t="str">
        <f>_xlfn.XLOOKUP(calls[[#This Row],[Customer ID]],customers[Customer ID],customers[Gedner])</f>
        <v>Female</v>
      </c>
      <c r="P83">
        <f>IF(calls[[#This Row],[Call number]]&lt;&gt;"",1,0)</f>
        <v>1</v>
      </c>
      <c r="Q83">
        <f>IF(calls[[#This Row],[Rating rounded]]=5,1,0)</f>
        <v>1</v>
      </c>
    </row>
    <row r="84" spans="2:17" x14ac:dyDescent="0.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c r="M84" s="7" t="str">
        <f>_xlfn.XLOOKUP(calls[[#This Row],[Customer ID]],customers[Customer ID],customers[City])</f>
        <v>Cleveland</v>
      </c>
      <c r="N84" s="3" t="str">
        <f>_xlfn.XLOOKUP(calls[[#This Row],[Customer ID]],customers[Customer ID],customers[Gedner])</f>
        <v>Female</v>
      </c>
      <c r="P84">
        <f>IF(calls[[#This Row],[Call number]]&lt;&gt;"",1,0)</f>
        <v>1</v>
      </c>
      <c r="Q84">
        <f>IF(calls[[#This Row],[Rating rounded]]=5,1,0)</f>
        <v>0</v>
      </c>
    </row>
    <row r="85" spans="2:17" x14ac:dyDescent="0.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c r="M85" s="7" t="str">
        <f>_xlfn.XLOOKUP(calls[[#This Row],[Customer ID]],customers[Customer ID],customers[City])</f>
        <v>Cincinnati</v>
      </c>
      <c r="N85" s="3" t="str">
        <f>_xlfn.XLOOKUP(calls[[#This Row],[Customer ID]],customers[Customer ID],customers[Gedner])</f>
        <v>Female</v>
      </c>
      <c r="P85">
        <f>IF(calls[[#This Row],[Call number]]&lt;&gt;"",1,0)</f>
        <v>1</v>
      </c>
      <c r="Q85">
        <f>IF(calls[[#This Row],[Rating rounded]]=5,1,0)</f>
        <v>1</v>
      </c>
    </row>
    <row r="86" spans="2:17" x14ac:dyDescent="0.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c r="M86" s="7" t="str">
        <f>_xlfn.XLOOKUP(calls[[#This Row],[Customer ID]],customers[Customer ID],customers[City])</f>
        <v>Cleveland</v>
      </c>
      <c r="N86" s="3" t="str">
        <f>_xlfn.XLOOKUP(calls[[#This Row],[Customer ID]],customers[Customer ID],customers[Gedner])</f>
        <v>Female</v>
      </c>
      <c r="P86">
        <f>IF(calls[[#This Row],[Call number]]&lt;&gt;"",1,0)</f>
        <v>1</v>
      </c>
      <c r="Q86">
        <f>IF(calls[[#This Row],[Rating rounded]]=5,1,0)</f>
        <v>0</v>
      </c>
    </row>
    <row r="87" spans="2:17" x14ac:dyDescent="0.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c r="M87" s="7" t="str">
        <f>_xlfn.XLOOKUP(calls[[#This Row],[Customer ID]],customers[Customer ID],customers[City])</f>
        <v>Cincinnati</v>
      </c>
      <c r="N87" s="3" t="str">
        <f>_xlfn.XLOOKUP(calls[[#This Row],[Customer ID]],customers[Customer ID],customers[Gedner])</f>
        <v>Male</v>
      </c>
      <c r="P87">
        <f>IF(calls[[#This Row],[Call number]]&lt;&gt;"",1,0)</f>
        <v>1</v>
      </c>
      <c r="Q87">
        <f>IF(calls[[#This Row],[Rating rounded]]=5,1,0)</f>
        <v>0</v>
      </c>
    </row>
    <row r="88" spans="2:17" x14ac:dyDescent="0.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c r="M88" s="7" t="str">
        <f>_xlfn.XLOOKUP(calls[[#This Row],[Customer ID]],customers[Customer ID],customers[City])</f>
        <v>Cincinnati</v>
      </c>
      <c r="N88" s="3" t="str">
        <f>_xlfn.XLOOKUP(calls[[#This Row],[Customer ID]],customers[Customer ID],customers[Gedner])</f>
        <v>Female</v>
      </c>
      <c r="P88">
        <f>IF(calls[[#This Row],[Call number]]&lt;&gt;"",1,0)</f>
        <v>1</v>
      </c>
      <c r="Q88">
        <f>IF(calls[[#This Row],[Rating rounded]]=5,1,0)</f>
        <v>0</v>
      </c>
    </row>
    <row r="89" spans="2:17" x14ac:dyDescent="0.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c r="M89" s="7" t="str">
        <f>_xlfn.XLOOKUP(calls[[#This Row],[Customer ID]],customers[Customer ID],customers[City])</f>
        <v>Columbus</v>
      </c>
      <c r="N89" s="3" t="str">
        <f>_xlfn.XLOOKUP(calls[[#This Row],[Customer ID]],customers[Customer ID],customers[Gedner])</f>
        <v>Female</v>
      </c>
      <c r="P89">
        <f>IF(calls[[#This Row],[Call number]]&lt;&gt;"",1,0)</f>
        <v>1</v>
      </c>
      <c r="Q89">
        <f>IF(calls[[#This Row],[Rating rounded]]=5,1,0)</f>
        <v>1</v>
      </c>
    </row>
    <row r="90" spans="2:17" x14ac:dyDescent="0.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c r="M90" s="7" t="str">
        <f>_xlfn.XLOOKUP(calls[[#This Row],[Customer ID]],customers[Customer ID],customers[City])</f>
        <v>Cleveland</v>
      </c>
      <c r="N90" s="3" t="str">
        <f>_xlfn.XLOOKUP(calls[[#This Row],[Customer ID]],customers[Customer ID],customers[Gedner])</f>
        <v>Female</v>
      </c>
      <c r="P90">
        <f>IF(calls[[#This Row],[Call number]]&lt;&gt;"",1,0)</f>
        <v>1</v>
      </c>
      <c r="Q90">
        <f>IF(calls[[#This Row],[Rating rounded]]=5,1,0)</f>
        <v>0</v>
      </c>
    </row>
    <row r="91" spans="2:17" x14ac:dyDescent="0.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c r="M91" s="7" t="str">
        <f>_xlfn.XLOOKUP(calls[[#This Row],[Customer ID]],customers[Customer ID],customers[City])</f>
        <v>Cincinnati</v>
      </c>
      <c r="N91" s="3" t="str">
        <f>_xlfn.XLOOKUP(calls[[#This Row],[Customer ID]],customers[Customer ID],customers[Gedner])</f>
        <v>Male</v>
      </c>
      <c r="P91">
        <f>IF(calls[[#This Row],[Call number]]&lt;&gt;"",1,0)</f>
        <v>1</v>
      </c>
      <c r="Q91">
        <f>IF(calls[[#This Row],[Rating rounded]]=5,1,0)</f>
        <v>0</v>
      </c>
    </row>
    <row r="92" spans="2:17" x14ac:dyDescent="0.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c r="M92" s="7" t="str">
        <f>_xlfn.XLOOKUP(calls[[#This Row],[Customer ID]],customers[Customer ID],customers[City])</f>
        <v>Cleveland</v>
      </c>
      <c r="N92" s="3" t="str">
        <f>_xlfn.XLOOKUP(calls[[#This Row],[Customer ID]],customers[Customer ID],customers[Gedner])</f>
        <v>Female</v>
      </c>
      <c r="P92">
        <f>IF(calls[[#This Row],[Call number]]&lt;&gt;"",1,0)</f>
        <v>1</v>
      </c>
      <c r="Q92">
        <f>IF(calls[[#This Row],[Rating rounded]]=5,1,0)</f>
        <v>1</v>
      </c>
    </row>
    <row r="93" spans="2:17" x14ac:dyDescent="0.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c r="M93" s="7" t="str">
        <f>_xlfn.XLOOKUP(calls[[#This Row],[Customer ID]],customers[Customer ID],customers[City])</f>
        <v>Columbus</v>
      </c>
      <c r="N93" s="3" t="str">
        <f>_xlfn.XLOOKUP(calls[[#This Row],[Customer ID]],customers[Customer ID],customers[Gedner])</f>
        <v>Female</v>
      </c>
      <c r="P93">
        <f>IF(calls[[#This Row],[Call number]]&lt;&gt;"",1,0)</f>
        <v>1</v>
      </c>
      <c r="Q93">
        <f>IF(calls[[#This Row],[Rating rounded]]=5,1,0)</f>
        <v>1</v>
      </c>
    </row>
    <row r="94" spans="2:17" x14ac:dyDescent="0.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c r="M94" s="7" t="str">
        <f>_xlfn.XLOOKUP(calls[[#This Row],[Customer ID]],customers[Customer ID],customers[City])</f>
        <v>Cleveland</v>
      </c>
      <c r="N94" s="3" t="str">
        <f>_xlfn.XLOOKUP(calls[[#This Row],[Customer ID]],customers[Customer ID],customers[Gedner])</f>
        <v>Female</v>
      </c>
      <c r="P94">
        <f>IF(calls[[#This Row],[Call number]]&lt;&gt;"",1,0)</f>
        <v>1</v>
      </c>
      <c r="Q94">
        <f>IF(calls[[#This Row],[Rating rounded]]=5,1,0)</f>
        <v>0</v>
      </c>
    </row>
    <row r="95" spans="2:17" x14ac:dyDescent="0.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c r="M95" s="7" t="str">
        <f>_xlfn.XLOOKUP(calls[[#This Row],[Customer ID]],customers[Customer ID],customers[City])</f>
        <v>Columbus</v>
      </c>
      <c r="N95" s="3" t="str">
        <f>_xlfn.XLOOKUP(calls[[#This Row],[Customer ID]],customers[Customer ID],customers[Gedner])</f>
        <v>Male</v>
      </c>
      <c r="P95">
        <f>IF(calls[[#This Row],[Call number]]&lt;&gt;"",1,0)</f>
        <v>1</v>
      </c>
      <c r="Q95">
        <f>IF(calls[[#This Row],[Rating rounded]]=5,1,0)</f>
        <v>1</v>
      </c>
    </row>
    <row r="96" spans="2:17" x14ac:dyDescent="0.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c r="M96" s="7" t="str">
        <f>_xlfn.XLOOKUP(calls[[#This Row],[Customer ID]],customers[Customer ID],customers[City])</f>
        <v>Cleveland</v>
      </c>
      <c r="N96" s="3" t="str">
        <f>_xlfn.XLOOKUP(calls[[#This Row],[Customer ID]],customers[Customer ID],customers[Gedner])</f>
        <v>Female</v>
      </c>
      <c r="P96">
        <f>IF(calls[[#This Row],[Call number]]&lt;&gt;"",1,0)</f>
        <v>1</v>
      </c>
      <c r="Q96">
        <f>IF(calls[[#This Row],[Rating rounded]]=5,1,0)</f>
        <v>1</v>
      </c>
    </row>
    <row r="97" spans="2:17" x14ac:dyDescent="0.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c r="M97" s="7" t="str">
        <f>_xlfn.XLOOKUP(calls[[#This Row],[Customer ID]],customers[Customer ID],customers[City])</f>
        <v>Cincinnati</v>
      </c>
      <c r="N97" s="3" t="str">
        <f>_xlfn.XLOOKUP(calls[[#This Row],[Customer ID]],customers[Customer ID],customers[Gedner])</f>
        <v>Female</v>
      </c>
      <c r="P97">
        <f>IF(calls[[#This Row],[Call number]]&lt;&gt;"",1,0)</f>
        <v>1</v>
      </c>
      <c r="Q97">
        <f>IF(calls[[#This Row],[Rating rounded]]=5,1,0)</f>
        <v>1</v>
      </c>
    </row>
    <row r="98" spans="2:17" x14ac:dyDescent="0.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c r="M98" s="7" t="str">
        <f>_xlfn.XLOOKUP(calls[[#This Row],[Customer ID]],customers[Customer ID],customers[City])</f>
        <v>Columbus</v>
      </c>
      <c r="N98" s="3" t="str">
        <f>_xlfn.XLOOKUP(calls[[#This Row],[Customer ID]],customers[Customer ID],customers[Gedner])</f>
        <v>Male</v>
      </c>
      <c r="P98">
        <f>IF(calls[[#This Row],[Call number]]&lt;&gt;"",1,0)</f>
        <v>1</v>
      </c>
      <c r="Q98">
        <f>IF(calls[[#This Row],[Rating rounded]]=5,1,0)</f>
        <v>1</v>
      </c>
    </row>
    <row r="99" spans="2:17" x14ac:dyDescent="0.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c r="M99" s="7" t="str">
        <f>_xlfn.XLOOKUP(calls[[#This Row],[Customer ID]],customers[Customer ID],customers[City])</f>
        <v>Columbus</v>
      </c>
      <c r="N99" s="3" t="str">
        <f>_xlfn.XLOOKUP(calls[[#This Row],[Customer ID]],customers[Customer ID],customers[Gedner])</f>
        <v>Male</v>
      </c>
      <c r="P99">
        <f>IF(calls[[#This Row],[Call number]]&lt;&gt;"",1,0)</f>
        <v>1</v>
      </c>
      <c r="Q99">
        <f>IF(calls[[#This Row],[Rating rounded]]=5,1,0)</f>
        <v>0</v>
      </c>
    </row>
    <row r="100" spans="2:17" x14ac:dyDescent="0.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c r="M100" s="7" t="str">
        <f>_xlfn.XLOOKUP(calls[[#This Row],[Customer ID]],customers[Customer ID],customers[City])</f>
        <v>Cincinnati</v>
      </c>
      <c r="N100" s="3" t="str">
        <f>_xlfn.XLOOKUP(calls[[#This Row],[Customer ID]],customers[Customer ID],customers[Gedner])</f>
        <v>Female</v>
      </c>
      <c r="P100">
        <f>IF(calls[[#This Row],[Call number]]&lt;&gt;"",1,0)</f>
        <v>1</v>
      </c>
      <c r="Q100">
        <f>IF(calls[[#This Row],[Rating rounded]]=5,1,0)</f>
        <v>1</v>
      </c>
    </row>
    <row r="101" spans="2:17" x14ac:dyDescent="0.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c r="M101" s="7" t="str">
        <f>_xlfn.XLOOKUP(calls[[#This Row],[Customer ID]],customers[Customer ID],customers[City])</f>
        <v>Cincinnati</v>
      </c>
      <c r="N101" s="3" t="str">
        <f>_xlfn.XLOOKUP(calls[[#This Row],[Customer ID]],customers[Customer ID],customers[Gedner])</f>
        <v>Male</v>
      </c>
      <c r="P101">
        <f>IF(calls[[#This Row],[Call number]]&lt;&gt;"",1,0)</f>
        <v>1</v>
      </c>
      <c r="Q101">
        <f>IF(calls[[#This Row],[Rating rounded]]=5,1,0)</f>
        <v>0</v>
      </c>
    </row>
    <row r="102" spans="2:17" x14ac:dyDescent="0.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c r="M102" s="7" t="str">
        <f>_xlfn.XLOOKUP(calls[[#This Row],[Customer ID]],customers[Customer ID],customers[City])</f>
        <v>Columbus</v>
      </c>
      <c r="N102" s="3" t="str">
        <f>_xlfn.XLOOKUP(calls[[#This Row],[Customer ID]],customers[Customer ID],customers[Gedner])</f>
        <v>Male</v>
      </c>
      <c r="P102">
        <f>IF(calls[[#This Row],[Call number]]&lt;&gt;"",1,0)</f>
        <v>1</v>
      </c>
      <c r="Q102">
        <f>IF(calls[[#This Row],[Rating rounded]]=5,1,0)</f>
        <v>1</v>
      </c>
    </row>
    <row r="103" spans="2:17" x14ac:dyDescent="0.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c r="M103" s="7" t="str">
        <f>_xlfn.XLOOKUP(calls[[#This Row],[Customer ID]],customers[Customer ID],customers[City])</f>
        <v>Cincinnati</v>
      </c>
      <c r="N103" s="3" t="str">
        <f>_xlfn.XLOOKUP(calls[[#This Row],[Customer ID]],customers[Customer ID],customers[Gedner])</f>
        <v>Male</v>
      </c>
      <c r="P103">
        <f>IF(calls[[#This Row],[Call number]]&lt;&gt;"",1,0)</f>
        <v>1</v>
      </c>
      <c r="Q103">
        <f>IF(calls[[#This Row],[Rating rounded]]=5,1,0)</f>
        <v>1</v>
      </c>
    </row>
    <row r="104" spans="2:17" x14ac:dyDescent="0.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c r="M104" s="7" t="str">
        <f>_xlfn.XLOOKUP(calls[[#This Row],[Customer ID]],customers[Customer ID],customers[City])</f>
        <v>Cleveland</v>
      </c>
      <c r="N104" s="3" t="str">
        <f>_xlfn.XLOOKUP(calls[[#This Row],[Customer ID]],customers[Customer ID],customers[Gedner])</f>
        <v>Female</v>
      </c>
      <c r="P104">
        <f>IF(calls[[#This Row],[Call number]]&lt;&gt;"",1,0)</f>
        <v>1</v>
      </c>
      <c r="Q104">
        <f>IF(calls[[#This Row],[Rating rounded]]=5,1,0)</f>
        <v>1</v>
      </c>
    </row>
    <row r="105" spans="2:17" x14ac:dyDescent="0.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c r="M105" s="7" t="str">
        <f>_xlfn.XLOOKUP(calls[[#This Row],[Customer ID]],customers[Customer ID],customers[City])</f>
        <v>Cincinnati</v>
      </c>
      <c r="N105" s="3" t="str">
        <f>_xlfn.XLOOKUP(calls[[#This Row],[Customer ID]],customers[Customer ID],customers[Gedner])</f>
        <v>Female</v>
      </c>
      <c r="P105">
        <f>IF(calls[[#This Row],[Call number]]&lt;&gt;"",1,0)</f>
        <v>1</v>
      </c>
      <c r="Q105">
        <f>IF(calls[[#This Row],[Rating rounded]]=5,1,0)</f>
        <v>0</v>
      </c>
    </row>
    <row r="106" spans="2:17" x14ac:dyDescent="0.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c r="M106" s="7" t="str">
        <f>_xlfn.XLOOKUP(calls[[#This Row],[Customer ID]],customers[Customer ID],customers[City])</f>
        <v>Columbus</v>
      </c>
      <c r="N106" s="3" t="str">
        <f>_xlfn.XLOOKUP(calls[[#This Row],[Customer ID]],customers[Customer ID],customers[Gedner])</f>
        <v>Female</v>
      </c>
      <c r="P106">
        <f>IF(calls[[#This Row],[Call number]]&lt;&gt;"",1,0)</f>
        <v>1</v>
      </c>
      <c r="Q106">
        <f>IF(calls[[#This Row],[Rating rounded]]=5,1,0)</f>
        <v>0</v>
      </c>
    </row>
    <row r="107" spans="2:17" x14ac:dyDescent="0.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c r="M107" s="7" t="str">
        <f>_xlfn.XLOOKUP(calls[[#This Row],[Customer ID]],customers[Customer ID],customers[City])</f>
        <v>Columbus</v>
      </c>
      <c r="N107" s="3" t="str">
        <f>_xlfn.XLOOKUP(calls[[#This Row],[Customer ID]],customers[Customer ID],customers[Gedner])</f>
        <v>Female</v>
      </c>
      <c r="P107">
        <f>IF(calls[[#This Row],[Call number]]&lt;&gt;"",1,0)</f>
        <v>1</v>
      </c>
      <c r="Q107">
        <f>IF(calls[[#This Row],[Rating rounded]]=5,1,0)</f>
        <v>0</v>
      </c>
    </row>
    <row r="108" spans="2:17" x14ac:dyDescent="0.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c r="M108" s="7" t="str">
        <f>_xlfn.XLOOKUP(calls[[#This Row],[Customer ID]],customers[Customer ID],customers[City])</f>
        <v>Columbus</v>
      </c>
      <c r="N108" s="3" t="str">
        <f>_xlfn.XLOOKUP(calls[[#This Row],[Customer ID]],customers[Customer ID],customers[Gedner])</f>
        <v>Male</v>
      </c>
      <c r="P108">
        <f>IF(calls[[#This Row],[Call number]]&lt;&gt;"",1,0)</f>
        <v>1</v>
      </c>
      <c r="Q108">
        <f>IF(calls[[#This Row],[Rating rounded]]=5,1,0)</f>
        <v>1</v>
      </c>
    </row>
    <row r="109" spans="2:17" x14ac:dyDescent="0.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c r="M109" s="7" t="str">
        <f>_xlfn.XLOOKUP(calls[[#This Row],[Customer ID]],customers[Customer ID],customers[City])</f>
        <v>Cleveland</v>
      </c>
      <c r="N109" s="3" t="str">
        <f>_xlfn.XLOOKUP(calls[[#This Row],[Customer ID]],customers[Customer ID],customers[Gedner])</f>
        <v>Male</v>
      </c>
      <c r="P109">
        <f>IF(calls[[#This Row],[Call number]]&lt;&gt;"",1,0)</f>
        <v>1</v>
      </c>
      <c r="Q109">
        <f>IF(calls[[#This Row],[Rating rounded]]=5,1,0)</f>
        <v>0</v>
      </c>
    </row>
    <row r="110" spans="2:17" x14ac:dyDescent="0.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c r="M110" s="7" t="str">
        <f>_xlfn.XLOOKUP(calls[[#This Row],[Customer ID]],customers[Customer ID],customers[City])</f>
        <v>Cincinnati</v>
      </c>
      <c r="N110" s="3" t="str">
        <f>_xlfn.XLOOKUP(calls[[#This Row],[Customer ID]],customers[Customer ID],customers[Gedner])</f>
        <v>Male</v>
      </c>
      <c r="P110">
        <f>IF(calls[[#This Row],[Call number]]&lt;&gt;"",1,0)</f>
        <v>1</v>
      </c>
      <c r="Q110">
        <f>IF(calls[[#This Row],[Rating rounded]]=5,1,0)</f>
        <v>1</v>
      </c>
    </row>
    <row r="111" spans="2:17" x14ac:dyDescent="0.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c r="M111" s="7" t="str">
        <f>_xlfn.XLOOKUP(calls[[#This Row],[Customer ID]],customers[Customer ID],customers[City])</f>
        <v>Cleveland</v>
      </c>
      <c r="N111" s="3" t="str">
        <f>_xlfn.XLOOKUP(calls[[#This Row],[Customer ID]],customers[Customer ID],customers[Gedner])</f>
        <v>Female</v>
      </c>
      <c r="P111">
        <f>IF(calls[[#This Row],[Call number]]&lt;&gt;"",1,0)</f>
        <v>1</v>
      </c>
      <c r="Q111">
        <f>IF(calls[[#This Row],[Rating rounded]]=5,1,0)</f>
        <v>0</v>
      </c>
    </row>
    <row r="112" spans="2:17" x14ac:dyDescent="0.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c r="M112" s="7" t="str">
        <f>_xlfn.XLOOKUP(calls[[#This Row],[Customer ID]],customers[Customer ID],customers[City])</f>
        <v>Cincinnati</v>
      </c>
      <c r="N112" s="3" t="str">
        <f>_xlfn.XLOOKUP(calls[[#This Row],[Customer ID]],customers[Customer ID],customers[Gedner])</f>
        <v>Male</v>
      </c>
      <c r="P112">
        <f>IF(calls[[#This Row],[Call number]]&lt;&gt;"",1,0)</f>
        <v>1</v>
      </c>
      <c r="Q112">
        <f>IF(calls[[#This Row],[Rating rounded]]=5,1,0)</f>
        <v>0</v>
      </c>
    </row>
    <row r="113" spans="2:17" x14ac:dyDescent="0.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c r="M113" s="7" t="str">
        <f>_xlfn.XLOOKUP(calls[[#This Row],[Customer ID]],customers[Customer ID],customers[City])</f>
        <v>Columbus</v>
      </c>
      <c r="N113" s="3" t="str">
        <f>_xlfn.XLOOKUP(calls[[#This Row],[Customer ID]],customers[Customer ID],customers[Gedner])</f>
        <v>Male</v>
      </c>
      <c r="P113">
        <f>IF(calls[[#This Row],[Call number]]&lt;&gt;"",1,0)</f>
        <v>1</v>
      </c>
      <c r="Q113">
        <f>IF(calls[[#This Row],[Rating rounded]]=5,1,0)</f>
        <v>0</v>
      </c>
    </row>
    <row r="114" spans="2:17" x14ac:dyDescent="0.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c r="M114" s="7" t="str">
        <f>_xlfn.XLOOKUP(calls[[#This Row],[Customer ID]],customers[Customer ID],customers[City])</f>
        <v>Cincinnati</v>
      </c>
      <c r="N114" s="3" t="str">
        <f>_xlfn.XLOOKUP(calls[[#This Row],[Customer ID]],customers[Customer ID],customers[Gedner])</f>
        <v>Male</v>
      </c>
      <c r="P114">
        <f>IF(calls[[#This Row],[Call number]]&lt;&gt;"",1,0)</f>
        <v>1</v>
      </c>
      <c r="Q114">
        <f>IF(calls[[#This Row],[Rating rounded]]=5,1,0)</f>
        <v>1</v>
      </c>
    </row>
    <row r="115" spans="2:17" x14ac:dyDescent="0.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c r="M115" s="7" t="str">
        <f>_xlfn.XLOOKUP(calls[[#This Row],[Customer ID]],customers[Customer ID],customers[City])</f>
        <v>Columbus</v>
      </c>
      <c r="N115" s="3" t="str">
        <f>_xlfn.XLOOKUP(calls[[#This Row],[Customer ID]],customers[Customer ID],customers[Gedner])</f>
        <v>Male</v>
      </c>
      <c r="P115">
        <f>IF(calls[[#This Row],[Call number]]&lt;&gt;"",1,0)</f>
        <v>1</v>
      </c>
      <c r="Q115">
        <f>IF(calls[[#This Row],[Rating rounded]]=5,1,0)</f>
        <v>0</v>
      </c>
    </row>
    <row r="116" spans="2:17" x14ac:dyDescent="0.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c r="M116" s="7" t="str">
        <f>_xlfn.XLOOKUP(calls[[#This Row],[Customer ID]],customers[Customer ID],customers[City])</f>
        <v>Cincinnati</v>
      </c>
      <c r="N116" s="3" t="str">
        <f>_xlfn.XLOOKUP(calls[[#This Row],[Customer ID]],customers[Customer ID],customers[Gedner])</f>
        <v>Female</v>
      </c>
      <c r="P116">
        <f>IF(calls[[#This Row],[Call number]]&lt;&gt;"",1,0)</f>
        <v>1</v>
      </c>
      <c r="Q116">
        <f>IF(calls[[#This Row],[Rating rounded]]=5,1,0)</f>
        <v>1</v>
      </c>
    </row>
    <row r="117" spans="2:17" x14ac:dyDescent="0.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c r="M117" s="7" t="str">
        <f>_xlfn.XLOOKUP(calls[[#This Row],[Customer ID]],customers[Customer ID],customers[City])</f>
        <v>Cleveland</v>
      </c>
      <c r="N117" s="3" t="str">
        <f>_xlfn.XLOOKUP(calls[[#This Row],[Customer ID]],customers[Customer ID],customers[Gedner])</f>
        <v>Female</v>
      </c>
      <c r="P117">
        <f>IF(calls[[#This Row],[Call number]]&lt;&gt;"",1,0)</f>
        <v>1</v>
      </c>
      <c r="Q117">
        <f>IF(calls[[#This Row],[Rating rounded]]=5,1,0)</f>
        <v>1</v>
      </c>
    </row>
    <row r="118" spans="2:17" x14ac:dyDescent="0.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c r="M118" s="7" t="str">
        <f>_xlfn.XLOOKUP(calls[[#This Row],[Customer ID]],customers[Customer ID],customers[City])</f>
        <v>Cleveland</v>
      </c>
      <c r="N118" s="3" t="str">
        <f>_xlfn.XLOOKUP(calls[[#This Row],[Customer ID]],customers[Customer ID],customers[Gedner])</f>
        <v>Female</v>
      </c>
      <c r="P118">
        <f>IF(calls[[#This Row],[Call number]]&lt;&gt;"",1,0)</f>
        <v>1</v>
      </c>
      <c r="Q118">
        <f>IF(calls[[#This Row],[Rating rounded]]=5,1,0)</f>
        <v>0</v>
      </c>
    </row>
    <row r="119" spans="2:17" x14ac:dyDescent="0.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c r="M119" s="7" t="str">
        <f>_xlfn.XLOOKUP(calls[[#This Row],[Customer ID]],customers[Customer ID],customers[City])</f>
        <v>Columbus</v>
      </c>
      <c r="N119" s="3" t="str">
        <f>_xlfn.XLOOKUP(calls[[#This Row],[Customer ID]],customers[Customer ID],customers[Gedner])</f>
        <v>Female</v>
      </c>
      <c r="P119">
        <f>IF(calls[[#This Row],[Call number]]&lt;&gt;"",1,0)</f>
        <v>1</v>
      </c>
      <c r="Q119">
        <f>IF(calls[[#This Row],[Rating rounded]]=5,1,0)</f>
        <v>0</v>
      </c>
    </row>
    <row r="120" spans="2:17" x14ac:dyDescent="0.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c r="M120" s="7" t="str">
        <f>_xlfn.XLOOKUP(calls[[#This Row],[Customer ID]],customers[Customer ID],customers[City])</f>
        <v>Columbus</v>
      </c>
      <c r="N120" s="3" t="str">
        <f>_xlfn.XLOOKUP(calls[[#This Row],[Customer ID]],customers[Customer ID],customers[Gedner])</f>
        <v>Female</v>
      </c>
      <c r="P120">
        <f>IF(calls[[#This Row],[Call number]]&lt;&gt;"",1,0)</f>
        <v>1</v>
      </c>
      <c r="Q120">
        <f>IF(calls[[#This Row],[Rating rounded]]=5,1,0)</f>
        <v>0</v>
      </c>
    </row>
    <row r="121" spans="2:17" x14ac:dyDescent="0.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c r="M121" s="7" t="str">
        <f>_xlfn.XLOOKUP(calls[[#This Row],[Customer ID]],customers[Customer ID],customers[City])</f>
        <v>Cleveland</v>
      </c>
      <c r="N121" s="3" t="str">
        <f>_xlfn.XLOOKUP(calls[[#This Row],[Customer ID]],customers[Customer ID],customers[Gedner])</f>
        <v>Male</v>
      </c>
      <c r="P121">
        <f>IF(calls[[#This Row],[Call number]]&lt;&gt;"",1,0)</f>
        <v>1</v>
      </c>
      <c r="Q121">
        <f>IF(calls[[#This Row],[Rating rounded]]=5,1,0)</f>
        <v>0</v>
      </c>
    </row>
    <row r="122" spans="2:17" x14ac:dyDescent="0.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c r="M122" s="7" t="str">
        <f>_xlfn.XLOOKUP(calls[[#This Row],[Customer ID]],customers[Customer ID],customers[City])</f>
        <v>Cincinnati</v>
      </c>
      <c r="N122" s="3" t="str">
        <f>_xlfn.XLOOKUP(calls[[#This Row],[Customer ID]],customers[Customer ID],customers[Gedner])</f>
        <v>Male</v>
      </c>
      <c r="P122">
        <f>IF(calls[[#This Row],[Call number]]&lt;&gt;"",1,0)</f>
        <v>1</v>
      </c>
      <c r="Q122">
        <f>IF(calls[[#This Row],[Rating rounded]]=5,1,0)</f>
        <v>0</v>
      </c>
    </row>
    <row r="123" spans="2:17" x14ac:dyDescent="0.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c r="M123" s="7" t="str">
        <f>_xlfn.XLOOKUP(calls[[#This Row],[Customer ID]],customers[Customer ID],customers[City])</f>
        <v>Cincinnati</v>
      </c>
      <c r="N123" s="3" t="str">
        <f>_xlfn.XLOOKUP(calls[[#This Row],[Customer ID]],customers[Customer ID],customers[Gedner])</f>
        <v>Male</v>
      </c>
      <c r="P123">
        <f>IF(calls[[#This Row],[Call number]]&lt;&gt;"",1,0)</f>
        <v>1</v>
      </c>
      <c r="Q123">
        <f>IF(calls[[#This Row],[Rating rounded]]=5,1,0)</f>
        <v>0</v>
      </c>
    </row>
    <row r="124" spans="2:17" x14ac:dyDescent="0.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c r="M124" s="7" t="str">
        <f>_xlfn.XLOOKUP(calls[[#This Row],[Customer ID]],customers[Customer ID],customers[City])</f>
        <v>Columbus</v>
      </c>
      <c r="N124" s="3" t="str">
        <f>_xlfn.XLOOKUP(calls[[#This Row],[Customer ID]],customers[Customer ID],customers[Gedner])</f>
        <v>Male</v>
      </c>
      <c r="P124">
        <f>IF(calls[[#This Row],[Call number]]&lt;&gt;"",1,0)</f>
        <v>1</v>
      </c>
      <c r="Q124">
        <f>IF(calls[[#This Row],[Rating rounded]]=5,1,0)</f>
        <v>0</v>
      </c>
    </row>
    <row r="125" spans="2:17" x14ac:dyDescent="0.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c r="M125" s="7" t="str">
        <f>_xlfn.XLOOKUP(calls[[#This Row],[Customer ID]],customers[Customer ID],customers[City])</f>
        <v>Cleveland</v>
      </c>
      <c r="N125" s="3" t="str">
        <f>_xlfn.XLOOKUP(calls[[#This Row],[Customer ID]],customers[Customer ID],customers[Gedner])</f>
        <v>Female</v>
      </c>
      <c r="P125">
        <f>IF(calls[[#This Row],[Call number]]&lt;&gt;"",1,0)</f>
        <v>1</v>
      </c>
      <c r="Q125">
        <f>IF(calls[[#This Row],[Rating rounded]]=5,1,0)</f>
        <v>0</v>
      </c>
    </row>
    <row r="126" spans="2:17" x14ac:dyDescent="0.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c r="M126" s="7" t="str">
        <f>_xlfn.XLOOKUP(calls[[#This Row],[Customer ID]],customers[Customer ID],customers[City])</f>
        <v>Cincinnati</v>
      </c>
      <c r="N126" s="3" t="str">
        <f>_xlfn.XLOOKUP(calls[[#This Row],[Customer ID]],customers[Customer ID],customers[Gedner])</f>
        <v>Male</v>
      </c>
      <c r="P126">
        <f>IF(calls[[#This Row],[Call number]]&lt;&gt;"",1,0)</f>
        <v>1</v>
      </c>
      <c r="Q126">
        <f>IF(calls[[#This Row],[Rating rounded]]=5,1,0)</f>
        <v>0</v>
      </c>
    </row>
    <row r="127" spans="2:17" x14ac:dyDescent="0.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c r="M127" s="7" t="str">
        <f>_xlfn.XLOOKUP(calls[[#This Row],[Customer ID]],customers[Customer ID],customers[City])</f>
        <v>Cleveland</v>
      </c>
      <c r="N127" s="3" t="str">
        <f>_xlfn.XLOOKUP(calls[[#This Row],[Customer ID]],customers[Customer ID],customers[Gedner])</f>
        <v>Female</v>
      </c>
      <c r="P127">
        <f>IF(calls[[#This Row],[Call number]]&lt;&gt;"",1,0)</f>
        <v>1</v>
      </c>
      <c r="Q127">
        <f>IF(calls[[#This Row],[Rating rounded]]=5,1,0)</f>
        <v>1</v>
      </c>
    </row>
    <row r="128" spans="2:17" x14ac:dyDescent="0.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c r="M128" s="7" t="str">
        <f>_xlfn.XLOOKUP(calls[[#This Row],[Customer ID]],customers[Customer ID],customers[City])</f>
        <v>Cleveland</v>
      </c>
      <c r="N128" s="3" t="str">
        <f>_xlfn.XLOOKUP(calls[[#This Row],[Customer ID]],customers[Customer ID],customers[Gedner])</f>
        <v>Female</v>
      </c>
      <c r="P128">
        <f>IF(calls[[#This Row],[Call number]]&lt;&gt;"",1,0)</f>
        <v>1</v>
      </c>
      <c r="Q128">
        <f>IF(calls[[#This Row],[Rating rounded]]=5,1,0)</f>
        <v>0</v>
      </c>
    </row>
    <row r="129" spans="2:17" x14ac:dyDescent="0.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c r="M129" s="7" t="str">
        <f>_xlfn.XLOOKUP(calls[[#This Row],[Customer ID]],customers[Customer ID],customers[City])</f>
        <v>Cincinnati</v>
      </c>
      <c r="N129" s="3" t="str">
        <f>_xlfn.XLOOKUP(calls[[#This Row],[Customer ID]],customers[Customer ID],customers[Gedner])</f>
        <v>Female</v>
      </c>
      <c r="P129">
        <f>IF(calls[[#This Row],[Call number]]&lt;&gt;"",1,0)</f>
        <v>1</v>
      </c>
      <c r="Q129">
        <f>IF(calls[[#This Row],[Rating rounded]]=5,1,0)</f>
        <v>0</v>
      </c>
    </row>
    <row r="130" spans="2:17" x14ac:dyDescent="0.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c r="M130" s="7" t="str">
        <f>_xlfn.XLOOKUP(calls[[#This Row],[Customer ID]],customers[Customer ID],customers[City])</f>
        <v>Cincinnati</v>
      </c>
      <c r="N130" s="3" t="str">
        <f>_xlfn.XLOOKUP(calls[[#This Row],[Customer ID]],customers[Customer ID],customers[Gedner])</f>
        <v>Male</v>
      </c>
      <c r="P130">
        <f>IF(calls[[#This Row],[Call number]]&lt;&gt;"",1,0)</f>
        <v>1</v>
      </c>
      <c r="Q130">
        <f>IF(calls[[#This Row],[Rating rounded]]=5,1,0)</f>
        <v>0</v>
      </c>
    </row>
    <row r="131" spans="2:17" x14ac:dyDescent="0.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c r="M131" s="7" t="str">
        <f>_xlfn.XLOOKUP(calls[[#This Row],[Customer ID]],customers[Customer ID],customers[City])</f>
        <v>Cleveland</v>
      </c>
      <c r="N131" s="3" t="str">
        <f>_xlfn.XLOOKUP(calls[[#This Row],[Customer ID]],customers[Customer ID],customers[Gedner])</f>
        <v>Female</v>
      </c>
      <c r="P131">
        <f>IF(calls[[#This Row],[Call number]]&lt;&gt;"",1,0)</f>
        <v>1</v>
      </c>
      <c r="Q131">
        <f>IF(calls[[#This Row],[Rating rounded]]=5,1,0)</f>
        <v>0</v>
      </c>
    </row>
    <row r="132" spans="2:17" x14ac:dyDescent="0.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c r="M132" s="7" t="str">
        <f>_xlfn.XLOOKUP(calls[[#This Row],[Customer ID]],customers[Customer ID],customers[City])</f>
        <v>Cleveland</v>
      </c>
      <c r="N132" s="3" t="str">
        <f>_xlfn.XLOOKUP(calls[[#This Row],[Customer ID]],customers[Customer ID],customers[Gedner])</f>
        <v>Female</v>
      </c>
      <c r="P132">
        <f>IF(calls[[#This Row],[Call number]]&lt;&gt;"",1,0)</f>
        <v>1</v>
      </c>
      <c r="Q132">
        <f>IF(calls[[#This Row],[Rating rounded]]=5,1,0)</f>
        <v>0</v>
      </c>
    </row>
    <row r="133" spans="2:17" x14ac:dyDescent="0.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c r="M133" s="7" t="str">
        <f>_xlfn.XLOOKUP(calls[[#This Row],[Customer ID]],customers[Customer ID],customers[City])</f>
        <v>Cincinnati</v>
      </c>
      <c r="N133" s="3" t="str">
        <f>_xlfn.XLOOKUP(calls[[#This Row],[Customer ID]],customers[Customer ID],customers[Gedner])</f>
        <v>Male</v>
      </c>
      <c r="P133">
        <f>IF(calls[[#This Row],[Call number]]&lt;&gt;"",1,0)</f>
        <v>1</v>
      </c>
      <c r="Q133">
        <f>IF(calls[[#This Row],[Rating rounded]]=5,1,0)</f>
        <v>0</v>
      </c>
    </row>
    <row r="134" spans="2:17" x14ac:dyDescent="0.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c r="M134" s="7" t="str">
        <f>_xlfn.XLOOKUP(calls[[#This Row],[Customer ID]],customers[Customer ID],customers[City])</f>
        <v>Columbus</v>
      </c>
      <c r="N134" s="3" t="str">
        <f>_xlfn.XLOOKUP(calls[[#This Row],[Customer ID]],customers[Customer ID],customers[Gedner])</f>
        <v>Male</v>
      </c>
      <c r="P134">
        <f>IF(calls[[#This Row],[Call number]]&lt;&gt;"",1,0)</f>
        <v>1</v>
      </c>
      <c r="Q134">
        <f>IF(calls[[#This Row],[Rating rounded]]=5,1,0)</f>
        <v>0</v>
      </c>
    </row>
    <row r="135" spans="2:17" x14ac:dyDescent="0.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c r="M135" s="7" t="str">
        <f>_xlfn.XLOOKUP(calls[[#This Row],[Customer ID]],customers[Customer ID],customers[City])</f>
        <v>Cleveland</v>
      </c>
      <c r="N135" s="3" t="str">
        <f>_xlfn.XLOOKUP(calls[[#This Row],[Customer ID]],customers[Customer ID],customers[Gedner])</f>
        <v>Female</v>
      </c>
      <c r="P135">
        <f>IF(calls[[#This Row],[Call number]]&lt;&gt;"",1,0)</f>
        <v>1</v>
      </c>
      <c r="Q135">
        <f>IF(calls[[#This Row],[Rating rounded]]=5,1,0)</f>
        <v>0</v>
      </c>
    </row>
    <row r="136" spans="2:17" x14ac:dyDescent="0.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c r="M136" s="7" t="str">
        <f>_xlfn.XLOOKUP(calls[[#This Row],[Customer ID]],customers[Customer ID],customers[City])</f>
        <v>Cleveland</v>
      </c>
      <c r="N136" s="3" t="str">
        <f>_xlfn.XLOOKUP(calls[[#This Row],[Customer ID]],customers[Customer ID],customers[Gedner])</f>
        <v>Female</v>
      </c>
      <c r="P136">
        <f>IF(calls[[#This Row],[Call number]]&lt;&gt;"",1,0)</f>
        <v>1</v>
      </c>
      <c r="Q136">
        <f>IF(calls[[#This Row],[Rating rounded]]=5,1,0)</f>
        <v>0</v>
      </c>
    </row>
    <row r="137" spans="2:17" x14ac:dyDescent="0.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c r="M137" s="7" t="str">
        <f>_xlfn.XLOOKUP(calls[[#This Row],[Customer ID]],customers[Customer ID],customers[City])</f>
        <v>Cleveland</v>
      </c>
      <c r="N137" s="3" t="str">
        <f>_xlfn.XLOOKUP(calls[[#This Row],[Customer ID]],customers[Customer ID],customers[Gedner])</f>
        <v>Female</v>
      </c>
      <c r="P137">
        <f>IF(calls[[#This Row],[Call number]]&lt;&gt;"",1,0)</f>
        <v>1</v>
      </c>
      <c r="Q137">
        <f>IF(calls[[#This Row],[Rating rounded]]=5,1,0)</f>
        <v>1</v>
      </c>
    </row>
    <row r="138" spans="2:17" x14ac:dyDescent="0.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c r="M138" s="7" t="str">
        <f>_xlfn.XLOOKUP(calls[[#This Row],[Customer ID]],customers[Customer ID],customers[City])</f>
        <v>Columbus</v>
      </c>
      <c r="N138" s="3" t="str">
        <f>_xlfn.XLOOKUP(calls[[#This Row],[Customer ID]],customers[Customer ID],customers[Gedner])</f>
        <v>Female</v>
      </c>
      <c r="P138">
        <f>IF(calls[[#This Row],[Call number]]&lt;&gt;"",1,0)</f>
        <v>1</v>
      </c>
      <c r="Q138">
        <f>IF(calls[[#This Row],[Rating rounded]]=5,1,0)</f>
        <v>0</v>
      </c>
    </row>
    <row r="139" spans="2:17" x14ac:dyDescent="0.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c r="M139" s="7" t="str">
        <f>_xlfn.XLOOKUP(calls[[#This Row],[Customer ID]],customers[Customer ID],customers[City])</f>
        <v>Cleveland</v>
      </c>
      <c r="N139" s="3" t="str">
        <f>_xlfn.XLOOKUP(calls[[#This Row],[Customer ID]],customers[Customer ID],customers[Gedner])</f>
        <v>Female</v>
      </c>
      <c r="P139">
        <f>IF(calls[[#This Row],[Call number]]&lt;&gt;"",1,0)</f>
        <v>1</v>
      </c>
      <c r="Q139">
        <f>IF(calls[[#This Row],[Rating rounded]]=5,1,0)</f>
        <v>1</v>
      </c>
    </row>
    <row r="140" spans="2:17" x14ac:dyDescent="0.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c r="M140" s="7" t="str">
        <f>_xlfn.XLOOKUP(calls[[#This Row],[Customer ID]],customers[Customer ID],customers[City])</f>
        <v>Columbus</v>
      </c>
      <c r="N140" s="3" t="str">
        <f>_xlfn.XLOOKUP(calls[[#This Row],[Customer ID]],customers[Customer ID],customers[Gedner])</f>
        <v>Female</v>
      </c>
      <c r="P140">
        <f>IF(calls[[#This Row],[Call number]]&lt;&gt;"",1,0)</f>
        <v>1</v>
      </c>
      <c r="Q140">
        <f>IF(calls[[#This Row],[Rating rounded]]=5,1,0)</f>
        <v>0</v>
      </c>
    </row>
    <row r="141" spans="2:17" x14ac:dyDescent="0.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c r="M141" s="7" t="str">
        <f>_xlfn.XLOOKUP(calls[[#This Row],[Customer ID]],customers[Customer ID],customers[City])</f>
        <v>Columbus</v>
      </c>
      <c r="N141" s="3" t="str">
        <f>_xlfn.XLOOKUP(calls[[#This Row],[Customer ID]],customers[Customer ID],customers[Gedner])</f>
        <v>Male</v>
      </c>
      <c r="P141">
        <f>IF(calls[[#This Row],[Call number]]&lt;&gt;"",1,0)</f>
        <v>1</v>
      </c>
      <c r="Q141">
        <f>IF(calls[[#This Row],[Rating rounded]]=5,1,0)</f>
        <v>1</v>
      </c>
    </row>
    <row r="142" spans="2:17" x14ac:dyDescent="0.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c r="M142" s="7" t="str">
        <f>_xlfn.XLOOKUP(calls[[#This Row],[Customer ID]],customers[Customer ID],customers[City])</f>
        <v>Cincinnati</v>
      </c>
      <c r="N142" s="3" t="str">
        <f>_xlfn.XLOOKUP(calls[[#This Row],[Customer ID]],customers[Customer ID],customers[Gedner])</f>
        <v>Female</v>
      </c>
      <c r="P142">
        <f>IF(calls[[#This Row],[Call number]]&lt;&gt;"",1,0)</f>
        <v>1</v>
      </c>
      <c r="Q142">
        <f>IF(calls[[#This Row],[Rating rounded]]=5,1,0)</f>
        <v>0</v>
      </c>
    </row>
    <row r="143" spans="2:17" x14ac:dyDescent="0.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c r="M143" s="7" t="str">
        <f>_xlfn.XLOOKUP(calls[[#This Row],[Customer ID]],customers[Customer ID],customers[City])</f>
        <v>Columbus</v>
      </c>
      <c r="N143" s="3" t="str">
        <f>_xlfn.XLOOKUP(calls[[#This Row],[Customer ID]],customers[Customer ID],customers[Gedner])</f>
        <v>Male</v>
      </c>
      <c r="P143">
        <f>IF(calls[[#This Row],[Call number]]&lt;&gt;"",1,0)</f>
        <v>1</v>
      </c>
      <c r="Q143">
        <f>IF(calls[[#This Row],[Rating rounded]]=5,1,0)</f>
        <v>0</v>
      </c>
    </row>
    <row r="144" spans="2:17" x14ac:dyDescent="0.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c r="M144" s="7" t="str">
        <f>_xlfn.XLOOKUP(calls[[#This Row],[Customer ID]],customers[Customer ID],customers[City])</f>
        <v>Cincinnati</v>
      </c>
      <c r="N144" s="3" t="str">
        <f>_xlfn.XLOOKUP(calls[[#This Row],[Customer ID]],customers[Customer ID],customers[Gedner])</f>
        <v>Male</v>
      </c>
      <c r="P144">
        <f>IF(calls[[#This Row],[Call number]]&lt;&gt;"",1,0)</f>
        <v>1</v>
      </c>
      <c r="Q144">
        <f>IF(calls[[#This Row],[Rating rounded]]=5,1,0)</f>
        <v>0</v>
      </c>
    </row>
    <row r="145" spans="2:17" x14ac:dyDescent="0.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c r="M145" s="7" t="str">
        <f>_xlfn.XLOOKUP(calls[[#This Row],[Customer ID]],customers[Customer ID],customers[City])</f>
        <v>Columbus</v>
      </c>
      <c r="N145" s="3" t="str">
        <f>_xlfn.XLOOKUP(calls[[#This Row],[Customer ID]],customers[Customer ID],customers[Gedner])</f>
        <v>Male</v>
      </c>
      <c r="P145">
        <f>IF(calls[[#This Row],[Call number]]&lt;&gt;"",1,0)</f>
        <v>1</v>
      </c>
      <c r="Q145">
        <f>IF(calls[[#This Row],[Rating rounded]]=5,1,0)</f>
        <v>1</v>
      </c>
    </row>
    <row r="146" spans="2:17" x14ac:dyDescent="0.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c r="M146" s="7" t="str">
        <f>_xlfn.XLOOKUP(calls[[#This Row],[Customer ID]],customers[Customer ID],customers[City])</f>
        <v>Columbus</v>
      </c>
      <c r="N146" s="3" t="str">
        <f>_xlfn.XLOOKUP(calls[[#This Row],[Customer ID]],customers[Customer ID],customers[Gedner])</f>
        <v>Female</v>
      </c>
      <c r="P146">
        <f>IF(calls[[#This Row],[Call number]]&lt;&gt;"",1,0)</f>
        <v>1</v>
      </c>
      <c r="Q146">
        <f>IF(calls[[#This Row],[Rating rounded]]=5,1,0)</f>
        <v>0</v>
      </c>
    </row>
    <row r="147" spans="2:17" x14ac:dyDescent="0.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c r="M147" s="7" t="str">
        <f>_xlfn.XLOOKUP(calls[[#This Row],[Customer ID]],customers[Customer ID],customers[City])</f>
        <v>Columbus</v>
      </c>
      <c r="N147" s="3" t="str">
        <f>_xlfn.XLOOKUP(calls[[#This Row],[Customer ID]],customers[Customer ID],customers[Gedner])</f>
        <v>Female</v>
      </c>
      <c r="P147">
        <f>IF(calls[[#This Row],[Call number]]&lt;&gt;"",1,0)</f>
        <v>1</v>
      </c>
      <c r="Q147">
        <f>IF(calls[[#This Row],[Rating rounded]]=5,1,0)</f>
        <v>0</v>
      </c>
    </row>
    <row r="148" spans="2:17" x14ac:dyDescent="0.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c r="M148" s="7" t="str">
        <f>_xlfn.XLOOKUP(calls[[#This Row],[Customer ID]],customers[Customer ID],customers[City])</f>
        <v>Columbus</v>
      </c>
      <c r="N148" s="3" t="str">
        <f>_xlfn.XLOOKUP(calls[[#This Row],[Customer ID]],customers[Customer ID],customers[Gedner])</f>
        <v>Male</v>
      </c>
      <c r="P148">
        <f>IF(calls[[#This Row],[Call number]]&lt;&gt;"",1,0)</f>
        <v>1</v>
      </c>
      <c r="Q148">
        <f>IF(calls[[#This Row],[Rating rounded]]=5,1,0)</f>
        <v>0</v>
      </c>
    </row>
    <row r="149" spans="2:17" x14ac:dyDescent="0.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c r="M149" s="7" t="str">
        <f>_xlfn.XLOOKUP(calls[[#This Row],[Customer ID]],customers[Customer ID],customers[City])</f>
        <v>Cincinnati</v>
      </c>
      <c r="N149" s="3" t="str">
        <f>_xlfn.XLOOKUP(calls[[#This Row],[Customer ID]],customers[Customer ID],customers[Gedner])</f>
        <v>Female</v>
      </c>
      <c r="P149">
        <f>IF(calls[[#This Row],[Call number]]&lt;&gt;"",1,0)</f>
        <v>1</v>
      </c>
      <c r="Q149">
        <f>IF(calls[[#This Row],[Rating rounded]]=5,1,0)</f>
        <v>1</v>
      </c>
    </row>
    <row r="150" spans="2:17" x14ac:dyDescent="0.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c r="M150" s="7" t="str">
        <f>_xlfn.XLOOKUP(calls[[#This Row],[Customer ID]],customers[Customer ID],customers[City])</f>
        <v>Cincinnati</v>
      </c>
      <c r="N150" s="3" t="str">
        <f>_xlfn.XLOOKUP(calls[[#This Row],[Customer ID]],customers[Customer ID],customers[Gedner])</f>
        <v>Female</v>
      </c>
      <c r="P150">
        <f>IF(calls[[#This Row],[Call number]]&lt;&gt;"",1,0)</f>
        <v>1</v>
      </c>
      <c r="Q150">
        <f>IF(calls[[#This Row],[Rating rounded]]=5,1,0)</f>
        <v>0</v>
      </c>
    </row>
    <row r="151" spans="2:17" x14ac:dyDescent="0.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c r="M151" s="7" t="str">
        <f>_xlfn.XLOOKUP(calls[[#This Row],[Customer ID]],customers[Customer ID],customers[City])</f>
        <v>Columbus</v>
      </c>
      <c r="N151" s="3" t="str">
        <f>_xlfn.XLOOKUP(calls[[#This Row],[Customer ID]],customers[Customer ID],customers[Gedner])</f>
        <v>Male</v>
      </c>
      <c r="P151">
        <f>IF(calls[[#This Row],[Call number]]&lt;&gt;"",1,0)</f>
        <v>1</v>
      </c>
      <c r="Q151">
        <f>IF(calls[[#This Row],[Rating rounded]]=5,1,0)</f>
        <v>0</v>
      </c>
    </row>
    <row r="152" spans="2:17" x14ac:dyDescent="0.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c r="M152" s="7" t="str">
        <f>_xlfn.XLOOKUP(calls[[#This Row],[Customer ID]],customers[Customer ID],customers[City])</f>
        <v>Cleveland</v>
      </c>
      <c r="N152" s="3" t="str">
        <f>_xlfn.XLOOKUP(calls[[#This Row],[Customer ID]],customers[Customer ID],customers[Gedner])</f>
        <v>Male</v>
      </c>
      <c r="P152">
        <f>IF(calls[[#This Row],[Call number]]&lt;&gt;"",1,0)</f>
        <v>1</v>
      </c>
      <c r="Q152">
        <f>IF(calls[[#This Row],[Rating rounded]]=5,1,0)</f>
        <v>0</v>
      </c>
    </row>
    <row r="153" spans="2:17" x14ac:dyDescent="0.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c r="M153" s="7" t="str">
        <f>_xlfn.XLOOKUP(calls[[#This Row],[Customer ID]],customers[Customer ID],customers[City])</f>
        <v>Cleveland</v>
      </c>
      <c r="N153" s="3" t="str">
        <f>_xlfn.XLOOKUP(calls[[#This Row],[Customer ID]],customers[Customer ID],customers[Gedner])</f>
        <v>Female</v>
      </c>
      <c r="P153">
        <f>IF(calls[[#This Row],[Call number]]&lt;&gt;"",1,0)</f>
        <v>1</v>
      </c>
      <c r="Q153">
        <f>IF(calls[[#This Row],[Rating rounded]]=5,1,0)</f>
        <v>0</v>
      </c>
    </row>
    <row r="154" spans="2:17" x14ac:dyDescent="0.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c r="M154" s="7" t="str">
        <f>_xlfn.XLOOKUP(calls[[#This Row],[Customer ID]],customers[Customer ID],customers[City])</f>
        <v>Cleveland</v>
      </c>
      <c r="N154" s="3" t="str">
        <f>_xlfn.XLOOKUP(calls[[#This Row],[Customer ID]],customers[Customer ID],customers[Gedner])</f>
        <v>Male</v>
      </c>
      <c r="P154">
        <f>IF(calls[[#This Row],[Call number]]&lt;&gt;"",1,0)</f>
        <v>1</v>
      </c>
      <c r="Q154">
        <f>IF(calls[[#This Row],[Rating rounded]]=5,1,0)</f>
        <v>0</v>
      </c>
    </row>
    <row r="155" spans="2:17" x14ac:dyDescent="0.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c r="M155" s="7" t="str">
        <f>_xlfn.XLOOKUP(calls[[#This Row],[Customer ID]],customers[Customer ID],customers[City])</f>
        <v>Cleveland</v>
      </c>
      <c r="N155" s="3" t="str">
        <f>_xlfn.XLOOKUP(calls[[#This Row],[Customer ID]],customers[Customer ID],customers[Gedner])</f>
        <v>Male</v>
      </c>
      <c r="P155">
        <f>IF(calls[[#This Row],[Call number]]&lt;&gt;"",1,0)</f>
        <v>1</v>
      </c>
      <c r="Q155">
        <f>IF(calls[[#This Row],[Rating rounded]]=5,1,0)</f>
        <v>1</v>
      </c>
    </row>
    <row r="156" spans="2:17" x14ac:dyDescent="0.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c r="M156" s="7" t="str">
        <f>_xlfn.XLOOKUP(calls[[#This Row],[Customer ID]],customers[Customer ID],customers[City])</f>
        <v>Cleveland</v>
      </c>
      <c r="N156" s="3" t="str">
        <f>_xlfn.XLOOKUP(calls[[#This Row],[Customer ID]],customers[Customer ID],customers[Gedner])</f>
        <v>Female</v>
      </c>
      <c r="P156">
        <f>IF(calls[[#This Row],[Call number]]&lt;&gt;"",1,0)</f>
        <v>1</v>
      </c>
      <c r="Q156">
        <f>IF(calls[[#This Row],[Rating rounded]]=5,1,0)</f>
        <v>1</v>
      </c>
    </row>
    <row r="157" spans="2:17" x14ac:dyDescent="0.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c r="M157" s="7" t="str">
        <f>_xlfn.XLOOKUP(calls[[#This Row],[Customer ID]],customers[Customer ID],customers[City])</f>
        <v>Columbus</v>
      </c>
      <c r="N157" s="3" t="str">
        <f>_xlfn.XLOOKUP(calls[[#This Row],[Customer ID]],customers[Customer ID],customers[Gedner])</f>
        <v>Female</v>
      </c>
      <c r="P157">
        <f>IF(calls[[#This Row],[Call number]]&lt;&gt;"",1,0)</f>
        <v>1</v>
      </c>
      <c r="Q157">
        <f>IF(calls[[#This Row],[Rating rounded]]=5,1,0)</f>
        <v>0</v>
      </c>
    </row>
    <row r="158" spans="2:17" x14ac:dyDescent="0.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c r="M158" s="7" t="str">
        <f>_xlfn.XLOOKUP(calls[[#This Row],[Customer ID]],customers[Customer ID],customers[City])</f>
        <v>Cleveland</v>
      </c>
      <c r="N158" s="3" t="str">
        <f>_xlfn.XLOOKUP(calls[[#This Row],[Customer ID]],customers[Customer ID],customers[Gedner])</f>
        <v>Male</v>
      </c>
      <c r="P158">
        <f>IF(calls[[#This Row],[Call number]]&lt;&gt;"",1,0)</f>
        <v>1</v>
      </c>
      <c r="Q158">
        <f>IF(calls[[#This Row],[Rating rounded]]=5,1,0)</f>
        <v>0</v>
      </c>
    </row>
    <row r="159" spans="2:17" x14ac:dyDescent="0.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c r="M159" s="7" t="str">
        <f>_xlfn.XLOOKUP(calls[[#This Row],[Customer ID]],customers[Customer ID],customers[City])</f>
        <v>Columbus</v>
      </c>
      <c r="N159" s="3" t="str">
        <f>_xlfn.XLOOKUP(calls[[#This Row],[Customer ID]],customers[Customer ID],customers[Gedner])</f>
        <v>Male</v>
      </c>
      <c r="P159">
        <f>IF(calls[[#This Row],[Call number]]&lt;&gt;"",1,0)</f>
        <v>1</v>
      </c>
      <c r="Q159">
        <f>IF(calls[[#This Row],[Rating rounded]]=5,1,0)</f>
        <v>0</v>
      </c>
    </row>
    <row r="160" spans="2:17" x14ac:dyDescent="0.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c r="M160" s="7" t="str">
        <f>_xlfn.XLOOKUP(calls[[#This Row],[Customer ID]],customers[Customer ID],customers[City])</f>
        <v>Cincinnati</v>
      </c>
      <c r="N160" s="3" t="str">
        <f>_xlfn.XLOOKUP(calls[[#This Row],[Customer ID]],customers[Customer ID],customers[Gedner])</f>
        <v>Male</v>
      </c>
      <c r="P160">
        <f>IF(calls[[#This Row],[Call number]]&lt;&gt;"",1,0)</f>
        <v>1</v>
      </c>
      <c r="Q160">
        <f>IF(calls[[#This Row],[Rating rounded]]=5,1,0)</f>
        <v>1</v>
      </c>
    </row>
    <row r="161" spans="2:17" x14ac:dyDescent="0.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c r="M161" s="7" t="str">
        <f>_xlfn.XLOOKUP(calls[[#This Row],[Customer ID]],customers[Customer ID],customers[City])</f>
        <v>Columbus</v>
      </c>
      <c r="N161" s="3" t="str">
        <f>_xlfn.XLOOKUP(calls[[#This Row],[Customer ID]],customers[Customer ID],customers[Gedner])</f>
        <v>Female</v>
      </c>
      <c r="P161">
        <f>IF(calls[[#This Row],[Call number]]&lt;&gt;"",1,0)</f>
        <v>1</v>
      </c>
      <c r="Q161">
        <f>IF(calls[[#This Row],[Rating rounded]]=5,1,0)</f>
        <v>1</v>
      </c>
    </row>
    <row r="162" spans="2:17" x14ac:dyDescent="0.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c r="M162" s="7" t="str">
        <f>_xlfn.XLOOKUP(calls[[#This Row],[Customer ID]],customers[Customer ID],customers[City])</f>
        <v>Columbus</v>
      </c>
      <c r="N162" s="3" t="str">
        <f>_xlfn.XLOOKUP(calls[[#This Row],[Customer ID]],customers[Customer ID],customers[Gedner])</f>
        <v>Female</v>
      </c>
      <c r="P162">
        <f>IF(calls[[#This Row],[Call number]]&lt;&gt;"",1,0)</f>
        <v>1</v>
      </c>
      <c r="Q162">
        <f>IF(calls[[#This Row],[Rating rounded]]=5,1,0)</f>
        <v>1</v>
      </c>
    </row>
    <row r="163" spans="2:17" x14ac:dyDescent="0.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c r="M163" s="7" t="str">
        <f>_xlfn.XLOOKUP(calls[[#This Row],[Customer ID]],customers[Customer ID],customers[City])</f>
        <v>Columbus</v>
      </c>
      <c r="N163" s="3" t="str">
        <f>_xlfn.XLOOKUP(calls[[#This Row],[Customer ID]],customers[Customer ID],customers[Gedner])</f>
        <v>Male</v>
      </c>
      <c r="P163">
        <f>IF(calls[[#This Row],[Call number]]&lt;&gt;"",1,0)</f>
        <v>1</v>
      </c>
      <c r="Q163">
        <f>IF(calls[[#This Row],[Rating rounded]]=5,1,0)</f>
        <v>0</v>
      </c>
    </row>
    <row r="164" spans="2:17" x14ac:dyDescent="0.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c r="M164" s="7" t="str">
        <f>_xlfn.XLOOKUP(calls[[#This Row],[Customer ID]],customers[Customer ID],customers[City])</f>
        <v>Cincinnati</v>
      </c>
      <c r="N164" s="3" t="str">
        <f>_xlfn.XLOOKUP(calls[[#This Row],[Customer ID]],customers[Customer ID],customers[Gedner])</f>
        <v>Male</v>
      </c>
      <c r="P164">
        <f>IF(calls[[#This Row],[Call number]]&lt;&gt;"",1,0)</f>
        <v>1</v>
      </c>
      <c r="Q164">
        <f>IF(calls[[#This Row],[Rating rounded]]=5,1,0)</f>
        <v>0</v>
      </c>
    </row>
    <row r="165" spans="2:17" x14ac:dyDescent="0.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c r="M165" s="7" t="str">
        <f>_xlfn.XLOOKUP(calls[[#This Row],[Customer ID]],customers[Customer ID],customers[City])</f>
        <v>Cincinnati</v>
      </c>
      <c r="N165" s="3" t="str">
        <f>_xlfn.XLOOKUP(calls[[#This Row],[Customer ID]],customers[Customer ID],customers[Gedner])</f>
        <v>Male</v>
      </c>
      <c r="P165">
        <f>IF(calls[[#This Row],[Call number]]&lt;&gt;"",1,0)</f>
        <v>1</v>
      </c>
      <c r="Q165">
        <f>IF(calls[[#This Row],[Rating rounded]]=5,1,0)</f>
        <v>0</v>
      </c>
    </row>
    <row r="166" spans="2:17" x14ac:dyDescent="0.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c r="M166" s="7" t="str">
        <f>_xlfn.XLOOKUP(calls[[#This Row],[Customer ID]],customers[Customer ID],customers[City])</f>
        <v>Cincinnati</v>
      </c>
      <c r="N166" s="3" t="str">
        <f>_xlfn.XLOOKUP(calls[[#This Row],[Customer ID]],customers[Customer ID],customers[Gedner])</f>
        <v>Female</v>
      </c>
      <c r="P166">
        <f>IF(calls[[#This Row],[Call number]]&lt;&gt;"",1,0)</f>
        <v>1</v>
      </c>
      <c r="Q166">
        <f>IF(calls[[#This Row],[Rating rounded]]=5,1,0)</f>
        <v>0</v>
      </c>
    </row>
    <row r="167" spans="2:17" x14ac:dyDescent="0.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c r="M167" s="7" t="str">
        <f>_xlfn.XLOOKUP(calls[[#This Row],[Customer ID]],customers[Customer ID],customers[City])</f>
        <v>Cincinnati</v>
      </c>
      <c r="N167" s="3" t="str">
        <f>_xlfn.XLOOKUP(calls[[#This Row],[Customer ID]],customers[Customer ID],customers[Gedner])</f>
        <v>Female</v>
      </c>
      <c r="P167">
        <f>IF(calls[[#This Row],[Call number]]&lt;&gt;"",1,0)</f>
        <v>1</v>
      </c>
      <c r="Q167">
        <f>IF(calls[[#This Row],[Rating rounded]]=5,1,0)</f>
        <v>0</v>
      </c>
    </row>
    <row r="168" spans="2:17" x14ac:dyDescent="0.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c r="M168" s="7" t="str">
        <f>_xlfn.XLOOKUP(calls[[#This Row],[Customer ID]],customers[Customer ID],customers[City])</f>
        <v>Cincinnati</v>
      </c>
      <c r="N168" s="3" t="str">
        <f>_xlfn.XLOOKUP(calls[[#This Row],[Customer ID]],customers[Customer ID],customers[Gedner])</f>
        <v>Male</v>
      </c>
      <c r="P168">
        <f>IF(calls[[#This Row],[Call number]]&lt;&gt;"",1,0)</f>
        <v>1</v>
      </c>
      <c r="Q168">
        <f>IF(calls[[#This Row],[Rating rounded]]=5,1,0)</f>
        <v>0</v>
      </c>
    </row>
    <row r="169" spans="2:17" x14ac:dyDescent="0.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c r="M169" s="7" t="str">
        <f>_xlfn.XLOOKUP(calls[[#This Row],[Customer ID]],customers[Customer ID],customers[City])</f>
        <v>Columbus</v>
      </c>
      <c r="N169" s="3" t="str">
        <f>_xlfn.XLOOKUP(calls[[#This Row],[Customer ID]],customers[Customer ID],customers[Gedner])</f>
        <v>Male</v>
      </c>
      <c r="P169">
        <f>IF(calls[[#This Row],[Call number]]&lt;&gt;"",1,0)</f>
        <v>1</v>
      </c>
      <c r="Q169">
        <f>IF(calls[[#This Row],[Rating rounded]]=5,1,0)</f>
        <v>0</v>
      </c>
    </row>
    <row r="170" spans="2:17" x14ac:dyDescent="0.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c r="M170" s="7" t="str">
        <f>_xlfn.XLOOKUP(calls[[#This Row],[Customer ID]],customers[Customer ID],customers[City])</f>
        <v>Columbus</v>
      </c>
      <c r="N170" s="3" t="str">
        <f>_xlfn.XLOOKUP(calls[[#This Row],[Customer ID]],customers[Customer ID],customers[Gedner])</f>
        <v>Male</v>
      </c>
      <c r="P170">
        <f>IF(calls[[#This Row],[Call number]]&lt;&gt;"",1,0)</f>
        <v>1</v>
      </c>
      <c r="Q170">
        <f>IF(calls[[#This Row],[Rating rounded]]=5,1,0)</f>
        <v>0</v>
      </c>
    </row>
    <row r="171" spans="2:17" x14ac:dyDescent="0.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c r="M171" s="7" t="str">
        <f>_xlfn.XLOOKUP(calls[[#This Row],[Customer ID]],customers[Customer ID],customers[City])</f>
        <v>Cincinnati</v>
      </c>
      <c r="N171" s="3" t="str">
        <f>_xlfn.XLOOKUP(calls[[#This Row],[Customer ID]],customers[Customer ID],customers[Gedner])</f>
        <v>Female</v>
      </c>
      <c r="P171">
        <f>IF(calls[[#This Row],[Call number]]&lt;&gt;"",1,0)</f>
        <v>1</v>
      </c>
      <c r="Q171">
        <f>IF(calls[[#This Row],[Rating rounded]]=5,1,0)</f>
        <v>0</v>
      </c>
    </row>
    <row r="172" spans="2:17" x14ac:dyDescent="0.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c r="M172" s="7" t="str">
        <f>_xlfn.XLOOKUP(calls[[#This Row],[Customer ID]],customers[Customer ID],customers[City])</f>
        <v>Columbus</v>
      </c>
      <c r="N172" s="3" t="str">
        <f>_xlfn.XLOOKUP(calls[[#This Row],[Customer ID]],customers[Customer ID],customers[Gedner])</f>
        <v>Male</v>
      </c>
      <c r="P172">
        <f>IF(calls[[#This Row],[Call number]]&lt;&gt;"",1,0)</f>
        <v>1</v>
      </c>
      <c r="Q172">
        <f>IF(calls[[#This Row],[Rating rounded]]=5,1,0)</f>
        <v>0</v>
      </c>
    </row>
    <row r="173" spans="2:17" x14ac:dyDescent="0.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c r="M173" s="7" t="str">
        <f>_xlfn.XLOOKUP(calls[[#This Row],[Customer ID]],customers[Customer ID],customers[City])</f>
        <v>Cincinnati</v>
      </c>
      <c r="N173" s="3" t="str">
        <f>_xlfn.XLOOKUP(calls[[#This Row],[Customer ID]],customers[Customer ID],customers[Gedner])</f>
        <v>Male</v>
      </c>
      <c r="P173">
        <f>IF(calls[[#This Row],[Call number]]&lt;&gt;"",1,0)</f>
        <v>1</v>
      </c>
      <c r="Q173">
        <f>IF(calls[[#This Row],[Rating rounded]]=5,1,0)</f>
        <v>1</v>
      </c>
    </row>
    <row r="174" spans="2:17" x14ac:dyDescent="0.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c r="M174" s="7" t="str">
        <f>_xlfn.XLOOKUP(calls[[#This Row],[Customer ID]],customers[Customer ID],customers[City])</f>
        <v>Columbus</v>
      </c>
      <c r="N174" s="3" t="str">
        <f>_xlfn.XLOOKUP(calls[[#This Row],[Customer ID]],customers[Customer ID],customers[Gedner])</f>
        <v>Male</v>
      </c>
      <c r="P174">
        <f>IF(calls[[#This Row],[Call number]]&lt;&gt;"",1,0)</f>
        <v>1</v>
      </c>
      <c r="Q174">
        <f>IF(calls[[#This Row],[Rating rounded]]=5,1,0)</f>
        <v>0</v>
      </c>
    </row>
    <row r="175" spans="2:17" x14ac:dyDescent="0.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c r="M175" s="7" t="str">
        <f>_xlfn.XLOOKUP(calls[[#This Row],[Customer ID]],customers[Customer ID],customers[City])</f>
        <v>Cleveland</v>
      </c>
      <c r="N175" s="3" t="str">
        <f>_xlfn.XLOOKUP(calls[[#This Row],[Customer ID]],customers[Customer ID],customers[Gedner])</f>
        <v>Female</v>
      </c>
      <c r="P175">
        <f>IF(calls[[#This Row],[Call number]]&lt;&gt;"",1,0)</f>
        <v>1</v>
      </c>
      <c r="Q175">
        <f>IF(calls[[#This Row],[Rating rounded]]=5,1,0)</f>
        <v>1</v>
      </c>
    </row>
    <row r="176" spans="2:17" x14ac:dyDescent="0.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c r="M176" s="7" t="str">
        <f>_xlfn.XLOOKUP(calls[[#This Row],[Customer ID]],customers[Customer ID],customers[City])</f>
        <v>Cleveland</v>
      </c>
      <c r="N176" s="3" t="str">
        <f>_xlfn.XLOOKUP(calls[[#This Row],[Customer ID]],customers[Customer ID],customers[Gedner])</f>
        <v>Male</v>
      </c>
      <c r="P176">
        <f>IF(calls[[#This Row],[Call number]]&lt;&gt;"",1,0)</f>
        <v>1</v>
      </c>
      <c r="Q176">
        <f>IF(calls[[#This Row],[Rating rounded]]=5,1,0)</f>
        <v>1</v>
      </c>
    </row>
    <row r="177" spans="2:17" x14ac:dyDescent="0.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c r="M177" s="7" t="str">
        <f>_xlfn.XLOOKUP(calls[[#This Row],[Customer ID]],customers[Customer ID],customers[City])</f>
        <v>Cleveland</v>
      </c>
      <c r="N177" s="3" t="str">
        <f>_xlfn.XLOOKUP(calls[[#This Row],[Customer ID]],customers[Customer ID],customers[Gedner])</f>
        <v>Female</v>
      </c>
      <c r="P177">
        <f>IF(calls[[#This Row],[Call number]]&lt;&gt;"",1,0)</f>
        <v>1</v>
      </c>
      <c r="Q177">
        <f>IF(calls[[#This Row],[Rating rounded]]=5,1,0)</f>
        <v>0</v>
      </c>
    </row>
    <row r="178" spans="2:17" x14ac:dyDescent="0.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c r="M178" s="7" t="str">
        <f>_xlfn.XLOOKUP(calls[[#This Row],[Customer ID]],customers[Customer ID],customers[City])</f>
        <v>Cincinnati</v>
      </c>
      <c r="N178" s="3" t="str">
        <f>_xlfn.XLOOKUP(calls[[#This Row],[Customer ID]],customers[Customer ID],customers[Gedner])</f>
        <v>Female</v>
      </c>
      <c r="P178">
        <f>IF(calls[[#This Row],[Call number]]&lt;&gt;"",1,0)</f>
        <v>1</v>
      </c>
      <c r="Q178">
        <f>IF(calls[[#This Row],[Rating rounded]]=5,1,0)</f>
        <v>1</v>
      </c>
    </row>
    <row r="179" spans="2:17" x14ac:dyDescent="0.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c r="M179" s="7" t="str">
        <f>_xlfn.XLOOKUP(calls[[#This Row],[Customer ID]],customers[Customer ID],customers[City])</f>
        <v>Cleveland</v>
      </c>
      <c r="N179" s="3" t="str">
        <f>_xlfn.XLOOKUP(calls[[#This Row],[Customer ID]],customers[Customer ID],customers[Gedner])</f>
        <v>Female</v>
      </c>
      <c r="P179">
        <f>IF(calls[[#This Row],[Call number]]&lt;&gt;"",1,0)</f>
        <v>1</v>
      </c>
      <c r="Q179">
        <f>IF(calls[[#This Row],[Rating rounded]]=5,1,0)</f>
        <v>1</v>
      </c>
    </row>
    <row r="180" spans="2:17" x14ac:dyDescent="0.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c r="M180" s="7" t="str">
        <f>_xlfn.XLOOKUP(calls[[#This Row],[Customer ID]],customers[Customer ID],customers[City])</f>
        <v>Cleveland</v>
      </c>
      <c r="N180" s="3" t="str">
        <f>_xlfn.XLOOKUP(calls[[#This Row],[Customer ID]],customers[Customer ID],customers[Gedner])</f>
        <v>Female</v>
      </c>
      <c r="P180">
        <f>IF(calls[[#This Row],[Call number]]&lt;&gt;"",1,0)</f>
        <v>1</v>
      </c>
      <c r="Q180">
        <f>IF(calls[[#This Row],[Rating rounded]]=5,1,0)</f>
        <v>0</v>
      </c>
    </row>
    <row r="181" spans="2:17" x14ac:dyDescent="0.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c r="M181" s="7" t="str">
        <f>_xlfn.XLOOKUP(calls[[#This Row],[Customer ID]],customers[Customer ID],customers[City])</f>
        <v>Columbus</v>
      </c>
      <c r="N181" s="3" t="str">
        <f>_xlfn.XLOOKUP(calls[[#This Row],[Customer ID]],customers[Customer ID],customers[Gedner])</f>
        <v>Male</v>
      </c>
      <c r="P181">
        <f>IF(calls[[#This Row],[Call number]]&lt;&gt;"",1,0)</f>
        <v>1</v>
      </c>
      <c r="Q181">
        <f>IF(calls[[#This Row],[Rating rounded]]=5,1,0)</f>
        <v>0</v>
      </c>
    </row>
    <row r="182" spans="2:17" x14ac:dyDescent="0.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c r="M182" s="7" t="str">
        <f>_xlfn.XLOOKUP(calls[[#This Row],[Customer ID]],customers[Customer ID],customers[City])</f>
        <v>Cleveland</v>
      </c>
      <c r="N182" s="3" t="str">
        <f>_xlfn.XLOOKUP(calls[[#This Row],[Customer ID]],customers[Customer ID],customers[Gedner])</f>
        <v>Female</v>
      </c>
      <c r="P182">
        <f>IF(calls[[#This Row],[Call number]]&lt;&gt;"",1,0)</f>
        <v>1</v>
      </c>
      <c r="Q182">
        <f>IF(calls[[#This Row],[Rating rounded]]=5,1,0)</f>
        <v>0</v>
      </c>
    </row>
    <row r="183" spans="2:17" x14ac:dyDescent="0.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c r="M183" s="7" t="str">
        <f>_xlfn.XLOOKUP(calls[[#This Row],[Customer ID]],customers[Customer ID],customers[City])</f>
        <v>Cincinnati</v>
      </c>
      <c r="N183" s="3" t="str">
        <f>_xlfn.XLOOKUP(calls[[#This Row],[Customer ID]],customers[Customer ID],customers[Gedner])</f>
        <v>Female</v>
      </c>
      <c r="P183">
        <f>IF(calls[[#This Row],[Call number]]&lt;&gt;"",1,0)</f>
        <v>1</v>
      </c>
      <c r="Q183">
        <f>IF(calls[[#This Row],[Rating rounded]]=5,1,0)</f>
        <v>0</v>
      </c>
    </row>
    <row r="184" spans="2:17" x14ac:dyDescent="0.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c r="M184" s="7" t="str">
        <f>_xlfn.XLOOKUP(calls[[#This Row],[Customer ID]],customers[Customer ID],customers[City])</f>
        <v>Columbus</v>
      </c>
      <c r="N184" s="3" t="str">
        <f>_xlfn.XLOOKUP(calls[[#This Row],[Customer ID]],customers[Customer ID],customers[Gedner])</f>
        <v>Female</v>
      </c>
      <c r="P184">
        <f>IF(calls[[#This Row],[Call number]]&lt;&gt;"",1,0)</f>
        <v>1</v>
      </c>
      <c r="Q184">
        <f>IF(calls[[#This Row],[Rating rounded]]=5,1,0)</f>
        <v>0</v>
      </c>
    </row>
    <row r="185" spans="2:17" x14ac:dyDescent="0.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c r="M185" s="7" t="str">
        <f>_xlfn.XLOOKUP(calls[[#This Row],[Customer ID]],customers[Customer ID],customers[City])</f>
        <v>Cincinnati</v>
      </c>
      <c r="N185" s="3" t="str">
        <f>_xlfn.XLOOKUP(calls[[#This Row],[Customer ID]],customers[Customer ID],customers[Gedner])</f>
        <v>Female</v>
      </c>
      <c r="P185">
        <f>IF(calls[[#This Row],[Call number]]&lt;&gt;"",1,0)</f>
        <v>1</v>
      </c>
      <c r="Q185">
        <f>IF(calls[[#This Row],[Rating rounded]]=5,1,0)</f>
        <v>1</v>
      </c>
    </row>
    <row r="186" spans="2:17" x14ac:dyDescent="0.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c r="M186" s="7" t="str">
        <f>_xlfn.XLOOKUP(calls[[#This Row],[Customer ID]],customers[Customer ID],customers[City])</f>
        <v>Cleveland</v>
      </c>
      <c r="N186" s="3" t="str">
        <f>_xlfn.XLOOKUP(calls[[#This Row],[Customer ID]],customers[Customer ID],customers[Gedner])</f>
        <v>Female</v>
      </c>
      <c r="P186">
        <f>IF(calls[[#This Row],[Call number]]&lt;&gt;"",1,0)</f>
        <v>1</v>
      </c>
      <c r="Q186">
        <f>IF(calls[[#This Row],[Rating rounded]]=5,1,0)</f>
        <v>1</v>
      </c>
    </row>
    <row r="187" spans="2:17" x14ac:dyDescent="0.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c r="M187" s="7" t="str">
        <f>_xlfn.XLOOKUP(calls[[#This Row],[Customer ID]],customers[Customer ID],customers[City])</f>
        <v>Cleveland</v>
      </c>
      <c r="N187" s="3" t="str">
        <f>_xlfn.XLOOKUP(calls[[#This Row],[Customer ID]],customers[Customer ID],customers[Gedner])</f>
        <v>Male</v>
      </c>
      <c r="P187">
        <f>IF(calls[[#This Row],[Call number]]&lt;&gt;"",1,0)</f>
        <v>1</v>
      </c>
      <c r="Q187">
        <f>IF(calls[[#This Row],[Rating rounded]]=5,1,0)</f>
        <v>0</v>
      </c>
    </row>
    <row r="188" spans="2:17" x14ac:dyDescent="0.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c r="M188" s="7" t="str">
        <f>_xlfn.XLOOKUP(calls[[#This Row],[Customer ID]],customers[Customer ID],customers[City])</f>
        <v>Cleveland</v>
      </c>
      <c r="N188" s="3" t="str">
        <f>_xlfn.XLOOKUP(calls[[#This Row],[Customer ID]],customers[Customer ID],customers[Gedner])</f>
        <v>Male</v>
      </c>
      <c r="P188">
        <f>IF(calls[[#This Row],[Call number]]&lt;&gt;"",1,0)</f>
        <v>1</v>
      </c>
      <c r="Q188">
        <f>IF(calls[[#This Row],[Rating rounded]]=5,1,0)</f>
        <v>0</v>
      </c>
    </row>
    <row r="189" spans="2:17" x14ac:dyDescent="0.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c r="M189" s="7" t="str">
        <f>_xlfn.XLOOKUP(calls[[#This Row],[Customer ID]],customers[Customer ID],customers[City])</f>
        <v>Cleveland</v>
      </c>
      <c r="N189" s="3" t="str">
        <f>_xlfn.XLOOKUP(calls[[#This Row],[Customer ID]],customers[Customer ID],customers[Gedner])</f>
        <v>Female</v>
      </c>
      <c r="P189">
        <f>IF(calls[[#This Row],[Call number]]&lt;&gt;"",1,0)</f>
        <v>1</v>
      </c>
      <c r="Q189">
        <f>IF(calls[[#This Row],[Rating rounded]]=5,1,0)</f>
        <v>0</v>
      </c>
    </row>
    <row r="190" spans="2:17" x14ac:dyDescent="0.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c r="M190" s="7" t="str">
        <f>_xlfn.XLOOKUP(calls[[#This Row],[Customer ID]],customers[Customer ID],customers[City])</f>
        <v>Cleveland</v>
      </c>
      <c r="N190" s="3" t="str">
        <f>_xlfn.XLOOKUP(calls[[#This Row],[Customer ID]],customers[Customer ID],customers[Gedner])</f>
        <v>Female</v>
      </c>
      <c r="P190">
        <f>IF(calls[[#This Row],[Call number]]&lt;&gt;"",1,0)</f>
        <v>1</v>
      </c>
      <c r="Q190">
        <f>IF(calls[[#This Row],[Rating rounded]]=5,1,0)</f>
        <v>0</v>
      </c>
    </row>
    <row r="191" spans="2:17" x14ac:dyDescent="0.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c r="M191" s="7" t="str">
        <f>_xlfn.XLOOKUP(calls[[#This Row],[Customer ID]],customers[Customer ID],customers[City])</f>
        <v>Cleveland</v>
      </c>
      <c r="N191" s="3" t="str">
        <f>_xlfn.XLOOKUP(calls[[#This Row],[Customer ID]],customers[Customer ID],customers[Gedner])</f>
        <v>Male</v>
      </c>
      <c r="P191">
        <f>IF(calls[[#This Row],[Call number]]&lt;&gt;"",1,0)</f>
        <v>1</v>
      </c>
      <c r="Q191">
        <f>IF(calls[[#This Row],[Rating rounded]]=5,1,0)</f>
        <v>1</v>
      </c>
    </row>
    <row r="192" spans="2:17" x14ac:dyDescent="0.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c r="M192" s="7" t="str">
        <f>_xlfn.XLOOKUP(calls[[#This Row],[Customer ID]],customers[Customer ID],customers[City])</f>
        <v>Columbus</v>
      </c>
      <c r="N192" s="3" t="str">
        <f>_xlfn.XLOOKUP(calls[[#This Row],[Customer ID]],customers[Customer ID],customers[Gedner])</f>
        <v>Male</v>
      </c>
      <c r="P192">
        <f>IF(calls[[#This Row],[Call number]]&lt;&gt;"",1,0)</f>
        <v>1</v>
      </c>
      <c r="Q192">
        <f>IF(calls[[#This Row],[Rating rounded]]=5,1,0)</f>
        <v>0</v>
      </c>
    </row>
    <row r="193" spans="2:17" x14ac:dyDescent="0.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c r="M193" s="7" t="str">
        <f>_xlfn.XLOOKUP(calls[[#This Row],[Customer ID]],customers[Customer ID],customers[City])</f>
        <v>Cleveland</v>
      </c>
      <c r="N193" s="3" t="str">
        <f>_xlfn.XLOOKUP(calls[[#This Row],[Customer ID]],customers[Customer ID],customers[Gedner])</f>
        <v>Female</v>
      </c>
      <c r="P193">
        <f>IF(calls[[#This Row],[Call number]]&lt;&gt;"",1,0)</f>
        <v>1</v>
      </c>
      <c r="Q193">
        <f>IF(calls[[#This Row],[Rating rounded]]=5,1,0)</f>
        <v>0</v>
      </c>
    </row>
    <row r="194" spans="2:17" x14ac:dyDescent="0.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c r="M194" s="7" t="str">
        <f>_xlfn.XLOOKUP(calls[[#This Row],[Customer ID]],customers[Customer ID],customers[City])</f>
        <v>Columbus</v>
      </c>
      <c r="N194" s="3" t="str">
        <f>_xlfn.XLOOKUP(calls[[#This Row],[Customer ID]],customers[Customer ID],customers[Gedner])</f>
        <v>Male</v>
      </c>
      <c r="P194">
        <f>IF(calls[[#This Row],[Call number]]&lt;&gt;"",1,0)</f>
        <v>1</v>
      </c>
      <c r="Q194">
        <f>IF(calls[[#This Row],[Rating rounded]]=5,1,0)</f>
        <v>0</v>
      </c>
    </row>
    <row r="195" spans="2:17" x14ac:dyDescent="0.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c r="M195" s="7" t="str">
        <f>_xlfn.XLOOKUP(calls[[#This Row],[Customer ID]],customers[Customer ID],customers[City])</f>
        <v>Cleveland</v>
      </c>
      <c r="N195" s="3" t="str">
        <f>_xlfn.XLOOKUP(calls[[#This Row],[Customer ID]],customers[Customer ID],customers[Gedner])</f>
        <v>Female</v>
      </c>
      <c r="P195">
        <f>IF(calls[[#This Row],[Call number]]&lt;&gt;"",1,0)</f>
        <v>1</v>
      </c>
      <c r="Q195">
        <f>IF(calls[[#This Row],[Rating rounded]]=5,1,0)</f>
        <v>0</v>
      </c>
    </row>
    <row r="196" spans="2:17" x14ac:dyDescent="0.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c r="M196" s="7" t="str">
        <f>_xlfn.XLOOKUP(calls[[#This Row],[Customer ID]],customers[Customer ID],customers[City])</f>
        <v>Cleveland</v>
      </c>
      <c r="N196" s="3" t="str">
        <f>_xlfn.XLOOKUP(calls[[#This Row],[Customer ID]],customers[Customer ID],customers[Gedner])</f>
        <v>Female</v>
      </c>
      <c r="P196">
        <f>IF(calls[[#This Row],[Call number]]&lt;&gt;"",1,0)</f>
        <v>1</v>
      </c>
      <c r="Q196">
        <f>IF(calls[[#This Row],[Rating rounded]]=5,1,0)</f>
        <v>0</v>
      </c>
    </row>
    <row r="197" spans="2:17" x14ac:dyDescent="0.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c r="M197" s="7" t="str">
        <f>_xlfn.XLOOKUP(calls[[#This Row],[Customer ID]],customers[Customer ID],customers[City])</f>
        <v>Cleveland</v>
      </c>
      <c r="N197" s="3" t="str">
        <f>_xlfn.XLOOKUP(calls[[#This Row],[Customer ID]],customers[Customer ID],customers[Gedner])</f>
        <v>Female</v>
      </c>
      <c r="P197">
        <f>IF(calls[[#This Row],[Call number]]&lt;&gt;"",1,0)</f>
        <v>1</v>
      </c>
      <c r="Q197">
        <f>IF(calls[[#This Row],[Rating rounded]]=5,1,0)</f>
        <v>1</v>
      </c>
    </row>
    <row r="198" spans="2:17" x14ac:dyDescent="0.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c r="M198" s="7" t="str">
        <f>_xlfn.XLOOKUP(calls[[#This Row],[Customer ID]],customers[Customer ID],customers[City])</f>
        <v>Cincinnati</v>
      </c>
      <c r="N198" s="3" t="str">
        <f>_xlfn.XLOOKUP(calls[[#This Row],[Customer ID]],customers[Customer ID],customers[Gedner])</f>
        <v>Male</v>
      </c>
      <c r="P198">
        <f>IF(calls[[#This Row],[Call number]]&lt;&gt;"",1,0)</f>
        <v>1</v>
      </c>
      <c r="Q198">
        <f>IF(calls[[#This Row],[Rating rounded]]=5,1,0)</f>
        <v>0</v>
      </c>
    </row>
    <row r="199" spans="2:17" x14ac:dyDescent="0.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c r="M199" s="7" t="str">
        <f>_xlfn.XLOOKUP(calls[[#This Row],[Customer ID]],customers[Customer ID],customers[City])</f>
        <v>Cleveland</v>
      </c>
      <c r="N199" s="3" t="str">
        <f>_xlfn.XLOOKUP(calls[[#This Row],[Customer ID]],customers[Customer ID],customers[Gedner])</f>
        <v>Female</v>
      </c>
      <c r="P199">
        <f>IF(calls[[#This Row],[Call number]]&lt;&gt;"",1,0)</f>
        <v>1</v>
      </c>
      <c r="Q199">
        <f>IF(calls[[#This Row],[Rating rounded]]=5,1,0)</f>
        <v>1</v>
      </c>
    </row>
    <row r="200" spans="2:17" x14ac:dyDescent="0.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c r="M200" s="7" t="str">
        <f>_xlfn.XLOOKUP(calls[[#This Row],[Customer ID]],customers[Customer ID],customers[City])</f>
        <v>Columbus</v>
      </c>
      <c r="N200" s="3" t="str">
        <f>_xlfn.XLOOKUP(calls[[#This Row],[Customer ID]],customers[Customer ID],customers[Gedner])</f>
        <v>Male</v>
      </c>
      <c r="P200">
        <f>IF(calls[[#This Row],[Call number]]&lt;&gt;"",1,0)</f>
        <v>1</v>
      </c>
      <c r="Q200">
        <f>IF(calls[[#This Row],[Rating rounded]]=5,1,0)</f>
        <v>1</v>
      </c>
    </row>
    <row r="201" spans="2:17" x14ac:dyDescent="0.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c r="M201" s="7" t="str">
        <f>_xlfn.XLOOKUP(calls[[#This Row],[Customer ID]],customers[Customer ID],customers[City])</f>
        <v>Cleveland</v>
      </c>
      <c r="N201" s="3" t="str">
        <f>_xlfn.XLOOKUP(calls[[#This Row],[Customer ID]],customers[Customer ID],customers[Gedner])</f>
        <v>Female</v>
      </c>
      <c r="P201">
        <f>IF(calls[[#This Row],[Call number]]&lt;&gt;"",1,0)</f>
        <v>1</v>
      </c>
      <c r="Q201">
        <f>IF(calls[[#This Row],[Rating rounded]]=5,1,0)</f>
        <v>0</v>
      </c>
    </row>
    <row r="202" spans="2:17" x14ac:dyDescent="0.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c r="M202" s="7" t="str">
        <f>_xlfn.XLOOKUP(calls[[#This Row],[Customer ID]],customers[Customer ID],customers[City])</f>
        <v>Cincinnati</v>
      </c>
      <c r="N202" s="3" t="str">
        <f>_xlfn.XLOOKUP(calls[[#This Row],[Customer ID]],customers[Customer ID],customers[Gedner])</f>
        <v>Male</v>
      </c>
      <c r="P202">
        <f>IF(calls[[#This Row],[Call number]]&lt;&gt;"",1,0)</f>
        <v>1</v>
      </c>
      <c r="Q202">
        <f>IF(calls[[#This Row],[Rating rounded]]=5,1,0)</f>
        <v>0</v>
      </c>
    </row>
    <row r="203" spans="2:17" x14ac:dyDescent="0.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c r="M203" s="7" t="str">
        <f>_xlfn.XLOOKUP(calls[[#This Row],[Customer ID]],customers[Customer ID],customers[City])</f>
        <v>Cincinnati</v>
      </c>
      <c r="N203" s="3" t="str">
        <f>_xlfn.XLOOKUP(calls[[#This Row],[Customer ID]],customers[Customer ID],customers[Gedner])</f>
        <v>Male</v>
      </c>
      <c r="P203">
        <f>IF(calls[[#This Row],[Call number]]&lt;&gt;"",1,0)</f>
        <v>1</v>
      </c>
      <c r="Q203">
        <f>IF(calls[[#This Row],[Rating rounded]]=5,1,0)</f>
        <v>0</v>
      </c>
    </row>
    <row r="204" spans="2:17" x14ac:dyDescent="0.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c r="M204" s="7" t="str">
        <f>_xlfn.XLOOKUP(calls[[#This Row],[Customer ID]],customers[Customer ID],customers[City])</f>
        <v>Columbus</v>
      </c>
      <c r="N204" s="3" t="str">
        <f>_xlfn.XLOOKUP(calls[[#This Row],[Customer ID]],customers[Customer ID],customers[Gedner])</f>
        <v>Male</v>
      </c>
      <c r="P204">
        <f>IF(calls[[#This Row],[Call number]]&lt;&gt;"",1,0)</f>
        <v>1</v>
      </c>
      <c r="Q204">
        <f>IF(calls[[#This Row],[Rating rounded]]=5,1,0)</f>
        <v>0</v>
      </c>
    </row>
    <row r="205" spans="2:17" x14ac:dyDescent="0.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c r="M205" s="7" t="str">
        <f>_xlfn.XLOOKUP(calls[[#This Row],[Customer ID]],customers[Customer ID],customers[City])</f>
        <v>Columbus</v>
      </c>
      <c r="N205" s="3" t="str">
        <f>_xlfn.XLOOKUP(calls[[#This Row],[Customer ID]],customers[Customer ID],customers[Gedner])</f>
        <v>Male</v>
      </c>
      <c r="P205">
        <f>IF(calls[[#This Row],[Call number]]&lt;&gt;"",1,0)</f>
        <v>1</v>
      </c>
      <c r="Q205">
        <f>IF(calls[[#This Row],[Rating rounded]]=5,1,0)</f>
        <v>0</v>
      </c>
    </row>
    <row r="206" spans="2:17" x14ac:dyDescent="0.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c r="M206" s="7" t="str">
        <f>_xlfn.XLOOKUP(calls[[#This Row],[Customer ID]],customers[Customer ID],customers[City])</f>
        <v>Columbus</v>
      </c>
      <c r="N206" s="3" t="str">
        <f>_xlfn.XLOOKUP(calls[[#This Row],[Customer ID]],customers[Customer ID],customers[Gedner])</f>
        <v>Male</v>
      </c>
      <c r="P206">
        <f>IF(calls[[#This Row],[Call number]]&lt;&gt;"",1,0)</f>
        <v>1</v>
      </c>
      <c r="Q206">
        <f>IF(calls[[#This Row],[Rating rounded]]=5,1,0)</f>
        <v>0</v>
      </c>
    </row>
    <row r="207" spans="2:17" x14ac:dyDescent="0.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c r="M207" s="7" t="str">
        <f>_xlfn.XLOOKUP(calls[[#This Row],[Customer ID]],customers[Customer ID],customers[City])</f>
        <v>Columbus</v>
      </c>
      <c r="N207" s="3" t="str">
        <f>_xlfn.XLOOKUP(calls[[#This Row],[Customer ID]],customers[Customer ID],customers[Gedner])</f>
        <v>Female</v>
      </c>
      <c r="P207">
        <f>IF(calls[[#This Row],[Call number]]&lt;&gt;"",1,0)</f>
        <v>1</v>
      </c>
      <c r="Q207">
        <f>IF(calls[[#This Row],[Rating rounded]]=5,1,0)</f>
        <v>0</v>
      </c>
    </row>
    <row r="208" spans="2:17" x14ac:dyDescent="0.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c r="M208" s="7" t="str">
        <f>_xlfn.XLOOKUP(calls[[#This Row],[Customer ID]],customers[Customer ID],customers[City])</f>
        <v>Cleveland</v>
      </c>
      <c r="N208" s="3" t="str">
        <f>_xlfn.XLOOKUP(calls[[#This Row],[Customer ID]],customers[Customer ID],customers[Gedner])</f>
        <v>Female</v>
      </c>
      <c r="P208">
        <f>IF(calls[[#This Row],[Call number]]&lt;&gt;"",1,0)</f>
        <v>1</v>
      </c>
      <c r="Q208">
        <f>IF(calls[[#This Row],[Rating rounded]]=5,1,0)</f>
        <v>0</v>
      </c>
    </row>
    <row r="209" spans="2:17" x14ac:dyDescent="0.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c r="M209" s="7" t="str">
        <f>_xlfn.XLOOKUP(calls[[#This Row],[Customer ID]],customers[Customer ID],customers[City])</f>
        <v>Cincinnati</v>
      </c>
      <c r="N209" s="3" t="str">
        <f>_xlfn.XLOOKUP(calls[[#This Row],[Customer ID]],customers[Customer ID],customers[Gedner])</f>
        <v>Female</v>
      </c>
      <c r="P209">
        <f>IF(calls[[#This Row],[Call number]]&lt;&gt;"",1,0)</f>
        <v>1</v>
      </c>
      <c r="Q209">
        <f>IF(calls[[#This Row],[Rating rounded]]=5,1,0)</f>
        <v>1</v>
      </c>
    </row>
    <row r="210" spans="2:17" x14ac:dyDescent="0.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c r="M210" s="7" t="str">
        <f>_xlfn.XLOOKUP(calls[[#This Row],[Customer ID]],customers[Customer ID],customers[City])</f>
        <v>Cleveland</v>
      </c>
      <c r="N210" s="3" t="str">
        <f>_xlfn.XLOOKUP(calls[[#This Row],[Customer ID]],customers[Customer ID],customers[Gedner])</f>
        <v>Female</v>
      </c>
      <c r="P210">
        <f>IF(calls[[#This Row],[Call number]]&lt;&gt;"",1,0)</f>
        <v>1</v>
      </c>
      <c r="Q210">
        <f>IF(calls[[#This Row],[Rating rounded]]=5,1,0)</f>
        <v>1</v>
      </c>
    </row>
    <row r="211" spans="2:17" x14ac:dyDescent="0.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c r="M211" s="7" t="str">
        <f>_xlfn.XLOOKUP(calls[[#This Row],[Customer ID]],customers[Customer ID],customers[City])</f>
        <v>Cincinnati</v>
      </c>
      <c r="N211" s="3" t="str">
        <f>_xlfn.XLOOKUP(calls[[#This Row],[Customer ID]],customers[Customer ID],customers[Gedner])</f>
        <v>Female</v>
      </c>
      <c r="P211">
        <f>IF(calls[[#This Row],[Call number]]&lt;&gt;"",1,0)</f>
        <v>1</v>
      </c>
      <c r="Q211">
        <f>IF(calls[[#This Row],[Rating rounded]]=5,1,0)</f>
        <v>0</v>
      </c>
    </row>
    <row r="212" spans="2:17" x14ac:dyDescent="0.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c r="M212" s="7" t="str">
        <f>_xlfn.XLOOKUP(calls[[#This Row],[Customer ID]],customers[Customer ID],customers[City])</f>
        <v>Cleveland</v>
      </c>
      <c r="N212" s="3" t="str">
        <f>_xlfn.XLOOKUP(calls[[#This Row],[Customer ID]],customers[Customer ID],customers[Gedner])</f>
        <v>Female</v>
      </c>
      <c r="P212">
        <f>IF(calls[[#This Row],[Call number]]&lt;&gt;"",1,0)</f>
        <v>1</v>
      </c>
      <c r="Q212">
        <f>IF(calls[[#This Row],[Rating rounded]]=5,1,0)</f>
        <v>0</v>
      </c>
    </row>
    <row r="213" spans="2:17" x14ac:dyDescent="0.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c r="M213" s="7" t="str">
        <f>_xlfn.XLOOKUP(calls[[#This Row],[Customer ID]],customers[Customer ID],customers[City])</f>
        <v>Columbus</v>
      </c>
      <c r="N213" s="3" t="str">
        <f>_xlfn.XLOOKUP(calls[[#This Row],[Customer ID]],customers[Customer ID],customers[Gedner])</f>
        <v>Male</v>
      </c>
      <c r="P213">
        <f>IF(calls[[#This Row],[Call number]]&lt;&gt;"",1,0)</f>
        <v>1</v>
      </c>
      <c r="Q213">
        <f>IF(calls[[#This Row],[Rating rounded]]=5,1,0)</f>
        <v>1</v>
      </c>
    </row>
    <row r="214" spans="2:17" x14ac:dyDescent="0.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c r="M214" s="7" t="str">
        <f>_xlfn.XLOOKUP(calls[[#This Row],[Customer ID]],customers[Customer ID],customers[City])</f>
        <v>Cleveland</v>
      </c>
      <c r="N214" s="3" t="str">
        <f>_xlfn.XLOOKUP(calls[[#This Row],[Customer ID]],customers[Customer ID],customers[Gedner])</f>
        <v>Female</v>
      </c>
      <c r="P214">
        <f>IF(calls[[#This Row],[Call number]]&lt;&gt;"",1,0)</f>
        <v>1</v>
      </c>
      <c r="Q214">
        <f>IF(calls[[#This Row],[Rating rounded]]=5,1,0)</f>
        <v>0</v>
      </c>
    </row>
    <row r="215" spans="2:17" x14ac:dyDescent="0.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c r="M215" s="7" t="str">
        <f>_xlfn.XLOOKUP(calls[[#This Row],[Customer ID]],customers[Customer ID],customers[City])</f>
        <v>Cincinnati</v>
      </c>
      <c r="N215" s="3" t="str">
        <f>_xlfn.XLOOKUP(calls[[#This Row],[Customer ID]],customers[Customer ID],customers[Gedner])</f>
        <v>Female</v>
      </c>
      <c r="P215">
        <f>IF(calls[[#This Row],[Call number]]&lt;&gt;"",1,0)</f>
        <v>1</v>
      </c>
      <c r="Q215">
        <f>IF(calls[[#This Row],[Rating rounded]]=5,1,0)</f>
        <v>0</v>
      </c>
    </row>
    <row r="216" spans="2:17" x14ac:dyDescent="0.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c r="M216" s="7" t="str">
        <f>_xlfn.XLOOKUP(calls[[#This Row],[Customer ID]],customers[Customer ID],customers[City])</f>
        <v>Columbus</v>
      </c>
      <c r="N216" s="3" t="str">
        <f>_xlfn.XLOOKUP(calls[[#This Row],[Customer ID]],customers[Customer ID],customers[Gedner])</f>
        <v>Male</v>
      </c>
      <c r="P216">
        <f>IF(calls[[#This Row],[Call number]]&lt;&gt;"",1,0)</f>
        <v>1</v>
      </c>
      <c r="Q216">
        <f>IF(calls[[#This Row],[Rating rounded]]=5,1,0)</f>
        <v>0</v>
      </c>
    </row>
    <row r="217" spans="2:17" x14ac:dyDescent="0.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c r="M217" s="7" t="str">
        <f>_xlfn.XLOOKUP(calls[[#This Row],[Customer ID]],customers[Customer ID],customers[City])</f>
        <v>Cincinnati</v>
      </c>
      <c r="N217" s="3" t="str">
        <f>_xlfn.XLOOKUP(calls[[#This Row],[Customer ID]],customers[Customer ID],customers[Gedner])</f>
        <v>Female</v>
      </c>
      <c r="P217">
        <f>IF(calls[[#This Row],[Call number]]&lt;&gt;"",1,0)</f>
        <v>1</v>
      </c>
      <c r="Q217">
        <f>IF(calls[[#This Row],[Rating rounded]]=5,1,0)</f>
        <v>0</v>
      </c>
    </row>
    <row r="218" spans="2:17" x14ac:dyDescent="0.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c r="M218" s="7" t="str">
        <f>_xlfn.XLOOKUP(calls[[#This Row],[Customer ID]],customers[Customer ID],customers[City])</f>
        <v>Cincinnati</v>
      </c>
      <c r="N218" s="3" t="str">
        <f>_xlfn.XLOOKUP(calls[[#This Row],[Customer ID]],customers[Customer ID],customers[Gedner])</f>
        <v>Male</v>
      </c>
      <c r="P218">
        <f>IF(calls[[#This Row],[Call number]]&lt;&gt;"",1,0)</f>
        <v>1</v>
      </c>
      <c r="Q218">
        <f>IF(calls[[#This Row],[Rating rounded]]=5,1,0)</f>
        <v>0</v>
      </c>
    </row>
    <row r="219" spans="2:17" x14ac:dyDescent="0.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c r="M219" s="7" t="str">
        <f>_xlfn.XLOOKUP(calls[[#This Row],[Customer ID]],customers[Customer ID],customers[City])</f>
        <v>Cleveland</v>
      </c>
      <c r="N219" s="3" t="str">
        <f>_xlfn.XLOOKUP(calls[[#This Row],[Customer ID]],customers[Customer ID],customers[Gedner])</f>
        <v>Female</v>
      </c>
      <c r="P219">
        <f>IF(calls[[#This Row],[Call number]]&lt;&gt;"",1,0)</f>
        <v>1</v>
      </c>
      <c r="Q219">
        <f>IF(calls[[#This Row],[Rating rounded]]=5,1,0)</f>
        <v>0</v>
      </c>
    </row>
    <row r="220" spans="2:17" x14ac:dyDescent="0.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c r="M220" s="7" t="str">
        <f>_xlfn.XLOOKUP(calls[[#This Row],[Customer ID]],customers[Customer ID],customers[City])</f>
        <v>Cleveland</v>
      </c>
      <c r="N220" s="3" t="str">
        <f>_xlfn.XLOOKUP(calls[[#This Row],[Customer ID]],customers[Customer ID],customers[Gedner])</f>
        <v>Female</v>
      </c>
      <c r="P220">
        <f>IF(calls[[#This Row],[Call number]]&lt;&gt;"",1,0)</f>
        <v>1</v>
      </c>
      <c r="Q220">
        <f>IF(calls[[#This Row],[Rating rounded]]=5,1,0)</f>
        <v>0</v>
      </c>
    </row>
    <row r="221" spans="2:17" x14ac:dyDescent="0.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c r="M221" s="7" t="str">
        <f>_xlfn.XLOOKUP(calls[[#This Row],[Customer ID]],customers[Customer ID],customers[City])</f>
        <v>Cleveland</v>
      </c>
      <c r="N221" s="3" t="str">
        <f>_xlfn.XLOOKUP(calls[[#This Row],[Customer ID]],customers[Customer ID],customers[Gedner])</f>
        <v>Female</v>
      </c>
      <c r="P221">
        <f>IF(calls[[#This Row],[Call number]]&lt;&gt;"",1,0)</f>
        <v>1</v>
      </c>
      <c r="Q221">
        <f>IF(calls[[#This Row],[Rating rounded]]=5,1,0)</f>
        <v>0</v>
      </c>
    </row>
    <row r="222" spans="2:17" x14ac:dyDescent="0.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c r="M222" s="7" t="str">
        <f>_xlfn.XLOOKUP(calls[[#This Row],[Customer ID]],customers[Customer ID],customers[City])</f>
        <v>Cleveland</v>
      </c>
      <c r="N222" s="3" t="str">
        <f>_xlfn.XLOOKUP(calls[[#This Row],[Customer ID]],customers[Customer ID],customers[Gedner])</f>
        <v>Male</v>
      </c>
      <c r="P222">
        <f>IF(calls[[#This Row],[Call number]]&lt;&gt;"",1,0)</f>
        <v>1</v>
      </c>
      <c r="Q222">
        <f>IF(calls[[#This Row],[Rating rounded]]=5,1,0)</f>
        <v>1</v>
      </c>
    </row>
    <row r="223" spans="2:17" x14ac:dyDescent="0.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c r="M223" s="7" t="str">
        <f>_xlfn.XLOOKUP(calls[[#This Row],[Customer ID]],customers[Customer ID],customers[City])</f>
        <v>Columbus</v>
      </c>
      <c r="N223" s="3" t="str">
        <f>_xlfn.XLOOKUP(calls[[#This Row],[Customer ID]],customers[Customer ID],customers[Gedner])</f>
        <v>Female</v>
      </c>
      <c r="P223">
        <f>IF(calls[[#This Row],[Call number]]&lt;&gt;"",1,0)</f>
        <v>1</v>
      </c>
      <c r="Q223">
        <f>IF(calls[[#This Row],[Rating rounded]]=5,1,0)</f>
        <v>0</v>
      </c>
    </row>
    <row r="224" spans="2:17" x14ac:dyDescent="0.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c r="M224" s="7" t="str">
        <f>_xlfn.XLOOKUP(calls[[#This Row],[Customer ID]],customers[Customer ID],customers[City])</f>
        <v>Columbus</v>
      </c>
      <c r="N224" s="3" t="str">
        <f>_xlfn.XLOOKUP(calls[[#This Row],[Customer ID]],customers[Customer ID],customers[Gedner])</f>
        <v>Female</v>
      </c>
      <c r="P224">
        <f>IF(calls[[#This Row],[Call number]]&lt;&gt;"",1,0)</f>
        <v>1</v>
      </c>
      <c r="Q224">
        <f>IF(calls[[#This Row],[Rating rounded]]=5,1,0)</f>
        <v>0</v>
      </c>
    </row>
    <row r="225" spans="2:17" x14ac:dyDescent="0.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c r="M225" s="7" t="str">
        <f>_xlfn.XLOOKUP(calls[[#This Row],[Customer ID]],customers[Customer ID],customers[City])</f>
        <v>Cincinnati</v>
      </c>
      <c r="N225" s="3" t="str">
        <f>_xlfn.XLOOKUP(calls[[#This Row],[Customer ID]],customers[Customer ID],customers[Gedner])</f>
        <v>Male</v>
      </c>
      <c r="P225">
        <f>IF(calls[[#This Row],[Call number]]&lt;&gt;"",1,0)</f>
        <v>1</v>
      </c>
      <c r="Q225">
        <f>IF(calls[[#This Row],[Rating rounded]]=5,1,0)</f>
        <v>1</v>
      </c>
    </row>
    <row r="226" spans="2:17" x14ac:dyDescent="0.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c r="M226" s="7" t="str">
        <f>_xlfn.XLOOKUP(calls[[#This Row],[Customer ID]],customers[Customer ID],customers[City])</f>
        <v>Cleveland</v>
      </c>
      <c r="N226" s="3" t="str">
        <f>_xlfn.XLOOKUP(calls[[#This Row],[Customer ID]],customers[Customer ID],customers[Gedner])</f>
        <v>Female</v>
      </c>
      <c r="P226">
        <f>IF(calls[[#This Row],[Call number]]&lt;&gt;"",1,0)</f>
        <v>1</v>
      </c>
      <c r="Q226">
        <f>IF(calls[[#This Row],[Rating rounded]]=5,1,0)</f>
        <v>0</v>
      </c>
    </row>
    <row r="227" spans="2:17" x14ac:dyDescent="0.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c r="M227" s="7" t="str">
        <f>_xlfn.XLOOKUP(calls[[#This Row],[Customer ID]],customers[Customer ID],customers[City])</f>
        <v>Columbus</v>
      </c>
      <c r="N227" s="3" t="str">
        <f>_xlfn.XLOOKUP(calls[[#This Row],[Customer ID]],customers[Customer ID],customers[Gedner])</f>
        <v>Male</v>
      </c>
      <c r="P227">
        <f>IF(calls[[#This Row],[Call number]]&lt;&gt;"",1,0)</f>
        <v>1</v>
      </c>
      <c r="Q227">
        <f>IF(calls[[#This Row],[Rating rounded]]=5,1,0)</f>
        <v>0</v>
      </c>
    </row>
    <row r="228" spans="2:17" x14ac:dyDescent="0.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c r="M228" s="7" t="str">
        <f>_xlfn.XLOOKUP(calls[[#This Row],[Customer ID]],customers[Customer ID],customers[City])</f>
        <v>Cincinnati</v>
      </c>
      <c r="N228" s="3" t="str">
        <f>_xlfn.XLOOKUP(calls[[#This Row],[Customer ID]],customers[Customer ID],customers[Gedner])</f>
        <v>Male</v>
      </c>
      <c r="P228">
        <f>IF(calls[[#This Row],[Call number]]&lt;&gt;"",1,0)</f>
        <v>1</v>
      </c>
      <c r="Q228">
        <f>IF(calls[[#This Row],[Rating rounded]]=5,1,0)</f>
        <v>0</v>
      </c>
    </row>
    <row r="229" spans="2:17" x14ac:dyDescent="0.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c r="M229" s="7" t="str">
        <f>_xlfn.XLOOKUP(calls[[#This Row],[Customer ID]],customers[Customer ID],customers[City])</f>
        <v>Columbus</v>
      </c>
      <c r="N229" s="3" t="str">
        <f>_xlfn.XLOOKUP(calls[[#This Row],[Customer ID]],customers[Customer ID],customers[Gedner])</f>
        <v>Male</v>
      </c>
      <c r="P229">
        <f>IF(calls[[#This Row],[Call number]]&lt;&gt;"",1,0)</f>
        <v>1</v>
      </c>
      <c r="Q229">
        <f>IF(calls[[#This Row],[Rating rounded]]=5,1,0)</f>
        <v>1</v>
      </c>
    </row>
    <row r="230" spans="2:17" x14ac:dyDescent="0.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c r="M230" s="7" t="str">
        <f>_xlfn.XLOOKUP(calls[[#This Row],[Customer ID]],customers[Customer ID],customers[City])</f>
        <v>Columbus</v>
      </c>
      <c r="N230" s="3" t="str">
        <f>_xlfn.XLOOKUP(calls[[#This Row],[Customer ID]],customers[Customer ID],customers[Gedner])</f>
        <v>Female</v>
      </c>
      <c r="P230">
        <f>IF(calls[[#This Row],[Call number]]&lt;&gt;"",1,0)</f>
        <v>1</v>
      </c>
      <c r="Q230">
        <f>IF(calls[[#This Row],[Rating rounded]]=5,1,0)</f>
        <v>0</v>
      </c>
    </row>
    <row r="231" spans="2:17" x14ac:dyDescent="0.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c r="M231" s="7" t="str">
        <f>_xlfn.XLOOKUP(calls[[#This Row],[Customer ID]],customers[Customer ID],customers[City])</f>
        <v>Cincinnati</v>
      </c>
      <c r="N231" s="3" t="str">
        <f>_xlfn.XLOOKUP(calls[[#This Row],[Customer ID]],customers[Customer ID],customers[Gedner])</f>
        <v>Female</v>
      </c>
      <c r="P231">
        <f>IF(calls[[#This Row],[Call number]]&lt;&gt;"",1,0)</f>
        <v>1</v>
      </c>
      <c r="Q231">
        <f>IF(calls[[#This Row],[Rating rounded]]=5,1,0)</f>
        <v>0</v>
      </c>
    </row>
    <row r="232" spans="2:17" x14ac:dyDescent="0.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c r="M232" s="7" t="str">
        <f>_xlfn.XLOOKUP(calls[[#This Row],[Customer ID]],customers[Customer ID],customers[City])</f>
        <v>Columbus</v>
      </c>
      <c r="N232" s="3" t="str">
        <f>_xlfn.XLOOKUP(calls[[#This Row],[Customer ID]],customers[Customer ID],customers[Gedner])</f>
        <v>Female</v>
      </c>
      <c r="P232">
        <f>IF(calls[[#This Row],[Call number]]&lt;&gt;"",1,0)</f>
        <v>1</v>
      </c>
      <c r="Q232">
        <f>IF(calls[[#This Row],[Rating rounded]]=5,1,0)</f>
        <v>1</v>
      </c>
    </row>
    <row r="233" spans="2:17" x14ac:dyDescent="0.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c r="M233" s="7" t="str">
        <f>_xlfn.XLOOKUP(calls[[#This Row],[Customer ID]],customers[Customer ID],customers[City])</f>
        <v>Columbus</v>
      </c>
      <c r="N233" s="3" t="str">
        <f>_xlfn.XLOOKUP(calls[[#This Row],[Customer ID]],customers[Customer ID],customers[Gedner])</f>
        <v>Male</v>
      </c>
      <c r="P233">
        <f>IF(calls[[#This Row],[Call number]]&lt;&gt;"",1,0)</f>
        <v>1</v>
      </c>
      <c r="Q233">
        <f>IF(calls[[#This Row],[Rating rounded]]=5,1,0)</f>
        <v>0</v>
      </c>
    </row>
    <row r="234" spans="2:17" x14ac:dyDescent="0.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c r="M234" s="7" t="str">
        <f>_xlfn.XLOOKUP(calls[[#This Row],[Customer ID]],customers[Customer ID],customers[City])</f>
        <v>Columbus</v>
      </c>
      <c r="N234" s="3" t="str">
        <f>_xlfn.XLOOKUP(calls[[#This Row],[Customer ID]],customers[Customer ID],customers[Gedner])</f>
        <v>Female</v>
      </c>
      <c r="P234">
        <f>IF(calls[[#This Row],[Call number]]&lt;&gt;"",1,0)</f>
        <v>1</v>
      </c>
      <c r="Q234">
        <f>IF(calls[[#This Row],[Rating rounded]]=5,1,0)</f>
        <v>0</v>
      </c>
    </row>
    <row r="235" spans="2:17" x14ac:dyDescent="0.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c r="M235" s="7" t="str">
        <f>_xlfn.XLOOKUP(calls[[#This Row],[Customer ID]],customers[Customer ID],customers[City])</f>
        <v>Cincinnati</v>
      </c>
      <c r="N235" s="3" t="str">
        <f>_xlfn.XLOOKUP(calls[[#This Row],[Customer ID]],customers[Customer ID],customers[Gedner])</f>
        <v>Male</v>
      </c>
      <c r="P235">
        <f>IF(calls[[#This Row],[Call number]]&lt;&gt;"",1,0)</f>
        <v>1</v>
      </c>
      <c r="Q235">
        <f>IF(calls[[#This Row],[Rating rounded]]=5,1,0)</f>
        <v>1</v>
      </c>
    </row>
    <row r="236" spans="2:17" x14ac:dyDescent="0.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c r="M236" s="7" t="str">
        <f>_xlfn.XLOOKUP(calls[[#This Row],[Customer ID]],customers[Customer ID],customers[City])</f>
        <v>Cincinnati</v>
      </c>
      <c r="N236" s="3" t="str">
        <f>_xlfn.XLOOKUP(calls[[#This Row],[Customer ID]],customers[Customer ID],customers[Gedner])</f>
        <v>Female</v>
      </c>
      <c r="P236">
        <f>IF(calls[[#This Row],[Call number]]&lt;&gt;"",1,0)</f>
        <v>1</v>
      </c>
      <c r="Q236">
        <f>IF(calls[[#This Row],[Rating rounded]]=5,1,0)</f>
        <v>1</v>
      </c>
    </row>
    <row r="237" spans="2:17" x14ac:dyDescent="0.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c r="M237" s="7" t="str">
        <f>_xlfn.XLOOKUP(calls[[#This Row],[Customer ID]],customers[Customer ID],customers[City])</f>
        <v>Columbus</v>
      </c>
      <c r="N237" s="3" t="str">
        <f>_xlfn.XLOOKUP(calls[[#This Row],[Customer ID]],customers[Customer ID],customers[Gedner])</f>
        <v>Female</v>
      </c>
      <c r="P237">
        <f>IF(calls[[#This Row],[Call number]]&lt;&gt;"",1,0)</f>
        <v>1</v>
      </c>
      <c r="Q237">
        <f>IF(calls[[#This Row],[Rating rounded]]=5,1,0)</f>
        <v>0</v>
      </c>
    </row>
    <row r="238" spans="2:17" x14ac:dyDescent="0.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c r="M238" s="7" t="str">
        <f>_xlfn.XLOOKUP(calls[[#This Row],[Customer ID]],customers[Customer ID],customers[City])</f>
        <v>Cleveland</v>
      </c>
      <c r="N238" s="3" t="str">
        <f>_xlfn.XLOOKUP(calls[[#This Row],[Customer ID]],customers[Customer ID],customers[Gedner])</f>
        <v>Female</v>
      </c>
      <c r="P238">
        <f>IF(calls[[#This Row],[Call number]]&lt;&gt;"",1,0)</f>
        <v>1</v>
      </c>
      <c r="Q238">
        <f>IF(calls[[#This Row],[Rating rounded]]=5,1,0)</f>
        <v>0</v>
      </c>
    </row>
    <row r="239" spans="2:17" x14ac:dyDescent="0.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c r="M239" s="7" t="str">
        <f>_xlfn.XLOOKUP(calls[[#This Row],[Customer ID]],customers[Customer ID],customers[City])</f>
        <v>Columbus</v>
      </c>
      <c r="N239" s="3" t="str">
        <f>_xlfn.XLOOKUP(calls[[#This Row],[Customer ID]],customers[Customer ID],customers[Gedner])</f>
        <v>Male</v>
      </c>
      <c r="P239">
        <f>IF(calls[[#This Row],[Call number]]&lt;&gt;"",1,0)</f>
        <v>1</v>
      </c>
      <c r="Q239">
        <f>IF(calls[[#This Row],[Rating rounded]]=5,1,0)</f>
        <v>0</v>
      </c>
    </row>
    <row r="240" spans="2:17" x14ac:dyDescent="0.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c r="M240" s="7" t="str">
        <f>_xlfn.XLOOKUP(calls[[#This Row],[Customer ID]],customers[Customer ID],customers[City])</f>
        <v>Cincinnati</v>
      </c>
      <c r="N240" s="3" t="str">
        <f>_xlfn.XLOOKUP(calls[[#This Row],[Customer ID]],customers[Customer ID],customers[Gedner])</f>
        <v>Male</v>
      </c>
      <c r="P240">
        <f>IF(calls[[#This Row],[Call number]]&lt;&gt;"",1,0)</f>
        <v>1</v>
      </c>
      <c r="Q240">
        <f>IF(calls[[#This Row],[Rating rounded]]=5,1,0)</f>
        <v>1</v>
      </c>
    </row>
    <row r="241" spans="2:17" x14ac:dyDescent="0.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c r="M241" s="7" t="str">
        <f>_xlfn.XLOOKUP(calls[[#This Row],[Customer ID]],customers[Customer ID],customers[City])</f>
        <v>Cleveland</v>
      </c>
      <c r="N241" s="3" t="str">
        <f>_xlfn.XLOOKUP(calls[[#This Row],[Customer ID]],customers[Customer ID],customers[Gedner])</f>
        <v>Female</v>
      </c>
      <c r="P241">
        <f>IF(calls[[#This Row],[Call number]]&lt;&gt;"",1,0)</f>
        <v>1</v>
      </c>
      <c r="Q241">
        <f>IF(calls[[#This Row],[Rating rounded]]=5,1,0)</f>
        <v>0</v>
      </c>
    </row>
    <row r="242" spans="2:17" x14ac:dyDescent="0.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c r="M242" s="7" t="str">
        <f>_xlfn.XLOOKUP(calls[[#This Row],[Customer ID]],customers[Customer ID],customers[City])</f>
        <v>Columbus</v>
      </c>
      <c r="N242" s="3" t="str">
        <f>_xlfn.XLOOKUP(calls[[#This Row],[Customer ID]],customers[Customer ID],customers[Gedner])</f>
        <v>Male</v>
      </c>
      <c r="P242">
        <f>IF(calls[[#This Row],[Call number]]&lt;&gt;"",1,0)</f>
        <v>1</v>
      </c>
      <c r="Q242">
        <f>IF(calls[[#This Row],[Rating rounded]]=5,1,0)</f>
        <v>1</v>
      </c>
    </row>
    <row r="243" spans="2:17" x14ac:dyDescent="0.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c r="M243" s="7" t="str">
        <f>_xlfn.XLOOKUP(calls[[#This Row],[Customer ID]],customers[Customer ID],customers[City])</f>
        <v>Cleveland</v>
      </c>
      <c r="N243" s="3" t="str">
        <f>_xlfn.XLOOKUP(calls[[#This Row],[Customer ID]],customers[Customer ID],customers[Gedner])</f>
        <v>Female</v>
      </c>
      <c r="P243">
        <f>IF(calls[[#This Row],[Call number]]&lt;&gt;"",1,0)</f>
        <v>1</v>
      </c>
      <c r="Q243">
        <f>IF(calls[[#This Row],[Rating rounded]]=5,1,0)</f>
        <v>0</v>
      </c>
    </row>
    <row r="244" spans="2:17" x14ac:dyDescent="0.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c r="M244" s="7" t="str">
        <f>_xlfn.XLOOKUP(calls[[#This Row],[Customer ID]],customers[Customer ID],customers[City])</f>
        <v>Cleveland</v>
      </c>
      <c r="N244" s="3" t="str">
        <f>_xlfn.XLOOKUP(calls[[#This Row],[Customer ID]],customers[Customer ID],customers[Gedner])</f>
        <v>Female</v>
      </c>
      <c r="P244">
        <f>IF(calls[[#This Row],[Call number]]&lt;&gt;"",1,0)</f>
        <v>1</v>
      </c>
      <c r="Q244">
        <f>IF(calls[[#This Row],[Rating rounded]]=5,1,0)</f>
        <v>0</v>
      </c>
    </row>
    <row r="245" spans="2:17" x14ac:dyDescent="0.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c r="M245" s="7" t="str">
        <f>_xlfn.XLOOKUP(calls[[#This Row],[Customer ID]],customers[Customer ID],customers[City])</f>
        <v>Columbus</v>
      </c>
      <c r="N245" s="3" t="str">
        <f>_xlfn.XLOOKUP(calls[[#This Row],[Customer ID]],customers[Customer ID],customers[Gedner])</f>
        <v>Male</v>
      </c>
      <c r="P245">
        <f>IF(calls[[#This Row],[Call number]]&lt;&gt;"",1,0)</f>
        <v>1</v>
      </c>
      <c r="Q245">
        <f>IF(calls[[#This Row],[Rating rounded]]=5,1,0)</f>
        <v>0</v>
      </c>
    </row>
    <row r="246" spans="2:17" x14ac:dyDescent="0.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c r="M246" s="7" t="str">
        <f>_xlfn.XLOOKUP(calls[[#This Row],[Customer ID]],customers[Customer ID],customers[City])</f>
        <v>Cleveland</v>
      </c>
      <c r="N246" s="3" t="str">
        <f>_xlfn.XLOOKUP(calls[[#This Row],[Customer ID]],customers[Customer ID],customers[Gedner])</f>
        <v>Female</v>
      </c>
      <c r="P246">
        <f>IF(calls[[#This Row],[Call number]]&lt;&gt;"",1,0)</f>
        <v>1</v>
      </c>
      <c r="Q246">
        <f>IF(calls[[#This Row],[Rating rounded]]=5,1,0)</f>
        <v>1</v>
      </c>
    </row>
    <row r="247" spans="2:17" x14ac:dyDescent="0.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c r="M247" s="7" t="str">
        <f>_xlfn.XLOOKUP(calls[[#This Row],[Customer ID]],customers[Customer ID],customers[City])</f>
        <v>Columbus</v>
      </c>
      <c r="N247" s="3" t="str">
        <f>_xlfn.XLOOKUP(calls[[#This Row],[Customer ID]],customers[Customer ID],customers[Gedner])</f>
        <v>Male</v>
      </c>
      <c r="P247">
        <f>IF(calls[[#This Row],[Call number]]&lt;&gt;"",1,0)</f>
        <v>1</v>
      </c>
      <c r="Q247">
        <f>IF(calls[[#This Row],[Rating rounded]]=5,1,0)</f>
        <v>0</v>
      </c>
    </row>
    <row r="248" spans="2:17" x14ac:dyDescent="0.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c r="M248" s="7" t="str">
        <f>_xlfn.XLOOKUP(calls[[#This Row],[Customer ID]],customers[Customer ID],customers[City])</f>
        <v>Columbus</v>
      </c>
      <c r="N248" s="3" t="str">
        <f>_xlfn.XLOOKUP(calls[[#This Row],[Customer ID]],customers[Customer ID],customers[Gedner])</f>
        <v>Female</v>
      </c>
      <c r="P248">
        <f>IF(calls[[#This Row],[Call number]]&lt;&gt;"",1,0)</f>
        <v>1</v>
      </c>
      <c r="Q248">
        <f>IF(calls[[#This Row],[Rating rounded]]=5,1,0)</f>
        <v>0</v>
      </c>
    </row>
    <row r="249" spans="2:17" x14ac:dyDescent="0.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c r="M249" s="7" t="str">
        <f>_xlfn.XLOOKUP(calls[[#This Row],[Customer ID]],customers[Customer ID],customers[City])</f>
        <v>Cleveland</v>
      </c>
      <c r="N249" s="3" t="str">
        <f>_xlfn.XLOOKUP(calls[[#This Row],[Customer ID]],customers[Customer ID],customers[Gedner])</f>
        <v>Female</v>
      </c>
      <c r="P249">
        <f>IF(calls[[#This Row],[Call number]]&lt;&gt;"",1,0)</f>
        <v>1</v>
      </c>
      <c r="Q249">
        <f>IF(calls[[#This Row],[Rating rounded]]=5,1,0)</f>
        <v>0</v>
      </c>
    </row>
    <row r="250" spans="2:17" x14ac:dyDescent="0.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c r="M250" s="7" t="str">
        <f>_xlfn.XLOOKUP(calls[[#This Row],[Customer ID]],customers[Customer ID],customers[City])</f>
        <v>Cincinnati</v>
      </c>
      <c r="N250" s="3" t="str">
        <f>_xlfn.XLOOKUP(calls[[#This Row],[Customer ID]],customers[Customer ID],customers[Gedner])</f>
        <v>Male</v>
      </c>
      <c r="P250">
        <f>IF(calls[[#This Row],[Call number]]&lt;&gt;"",1,0)</f>
        <v>1</v>
      </c>
      <c r="Q250">
        <f>IF(calls[[#This Row],[Rating rounded]]=5,1,0)</f>
        <v>0</v>
      </c>
    </row>
    <row r="251" spans="2:17" x14ac:dyDescent="0.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c r="M251" s="7" t="str">
        <f>_xlfn.XLOOKUP(calls[[#This Row],[Customer ID]],customers[Customer ID],customers[City])</f>
        <v>Cincinnati</v>
      </c>
      <c r="N251" s="3" t="str">
        <f>_xlfn.XLOOKUP(calls[[#This Row],[Customer ID]],customers[Customer ID],customers[Gedner])</f>
        <v>Male</v>
      </c>
      <c r="P251">
        <f>IF(calls[[#This Row],[Call number]]&lt;&gt;"",1,0)</f>
        <v>1</v>
      </c>
      <c r="Q251">
        <f>IF(calls[[#This Row],[Rating rounded]]=5,1,0)</f>
        <v>0</v>
      </c>
    </row>
    <row r="252" spans="2:17" x14ac:dyDescent="0.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c r="M252" s="7" t="str">
        <f>_xlfn.XLOOKUP(calls[[#This Row],[Customer ID]],customers[Customer ID],customers[City])</f>
        <v>Columbus</v>
      </c>
      <c r="N252" s="3" t="str">
        <f>_xlfn.XLOOKUP(calls[[#This Row],[Customer ID]],customers[Customer ID],customers[Gedner])</f>
        <v>Male</v>
      </c>
      <c r="P252">
        <f>IF(calls[[#This Row],[Call number]]&lt;&gt;"",1,0)</f>
        <v>1</v>
      </c>
      <c r="Q252">
        <f>IF(calls[[#This Row],[Rating rounded]]=5,1,0)</f>
        <v>0</v>
      </c>
    </row>
    <row r="253" spans="2:17" x14ac:dyDescent="0.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c r="M253" s="7" t="str">
        <f>_xlfn.XLOOKUP(calls[[#This Row],[Customer ID]],customers[Customer ID],customers[City])</f>
        <v>Cincinnati</v>
      </c>
      <c r="N253" s="3" t="str">
        <f>_xlfn.XLOOKUP(calls[[#This Row],[Customer ID]],customers[Customer ID],customers[Gedner])</f>
        <v>Female</v>
      </c>
      <c r="P253">
        <f>IF(calls[[#This Row],[Call number]]&lt;&gt;"",1,0)</f>
        <v>1</v>
      </c>
      <c r="Q253">
        <f>IF(calls[[#This Row],[Rating rounded]]=5,1,0)</f>
        <v>0</v>
      </c>
    </row>
    <row r="254" spans="2:17" x14ac:dyDescent="0.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c r="M254" s="7" t="str">
        <f>_xlfn.XLOOKUP(calls[[#This Row],[Customer ID]],customers[Customer ID],customers[City])</f>
        <v>Cincinnati</v>
      </c>
      <c r="N254" s="3" t="str">
        <f>_xlfn.XLOOKUP(calls[[#This Row],[Customer ID]],customers[Customer ID],customers[Gedner])</f>
        <v>Male</v>
      </c>
      <c r="P254">
        <f>IF(calls[[#This Row],[Call number]]&lt;&gt;"",1,0)</f>
        <v>1</v>
      </c>
      <c r="Q254">
        <f>IF(calls[[#This Row],[Rating rounded]]=5,1,0)</f>
        <v>0</v>
      </c>
    </row>
    <row r="255" spans="2:17" x14ac:dyDescent="0.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c r="M255" s="7" t="str">
        <f>_xlfn.XLOOKUP(calls[[#This Row],[Customer ID]],customers[Customer ID],customers[City])</f>
        <v>Columbus</v>
      </c>
      <c r="N255" s="3" t="str">
        <f>_xlfn.XLOOKUP(calls[[#This Row],[Customer ID]],customers[Customer ID],customers[Gedner])</f>
        <v>Female</v>
      </c>
      <c r="P255">
        <f>IF(calls[[#This Row],[Call number]]&lt;&gt;"",1,0)</f>
        <v>1</v>
      </c>
      <c r="Q255">
        <f>IF(calls[[#This Row],[Rating rounded]]=5,1,0)</f>
        <v>0</v>
      </c>
    </row>
    <row r="256" spans="2:17" x14ac:dyDescent="0.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c r="M256" s="7" t="str">
        <f>_xlfn.XLOOKUP(calls[[#This Row],[Customer ID]],customers[Customer ID],customers[City])</f>
        <v>Columbus</v>
      </c>
      <c r="N256" s="3" t="str">
        <f>_xlfn.XLOOKUP(calls[[#This Row],[Customer ID]],customers[Customer ID],customers[Gedner])</f>
        <v>Male</v>
      </c>
      <c r="P256">
        <f>IF(calls[[#This Row],[Call number]]&lt;&gt;"",1,0)</f>
        <v>1</v>
      </c>
      <c r="Q256">
        <f>IF(calls[[#This Row],[Rating rounded]]=5,1,0)</f>
        <v>0</v>
      </c>
    </row>
    <row r="257" spans="2:17" x14ac:dyDescent="0.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c r="M257" s="7" t="str">
        <f>_xlfn.XLOOKUP(calls[[#This Row],[Customer ID]],customers[Customer ID],customers[City])</f>
        <v>Columbus</v>
      </c>
      <c r="N257" s="3" t="str">
        <f>_xlfn.XLOOKUP(calls[[#This Row],[Customer ID]],customers[Customer ID],customers[Gedner])</f>
        <v>Female</v>
      </c>
      <c r="P257">
        <f>IF(calls[[#This Row],[Call number]]&lt;&gt;"",1,0)</f>
        <v>1</v>
      </c>
      <c r="Q257">
        <f>IF(calls[[#This Row],[Rating rounded]]=5,1,0)</f>
        <v>0</v>
      </c>
    </row>
    <row r="258" spans="2:17" x14ac:dyDescent="0.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c r="M258" s="7" t="str">
        <f>_xlfn.XLOOKUP(calls[[#This Row],[Customer ID]],customers[Customer ID],customers[City])</f>
        <v>Cincinnati</v>
      </c>
      <c r="N258" s="3" t="str">
        <f>_xlfn.XLOOKUP(calls[[#This Row],[Customer ID]],customers[Customer ID],customers[Gedner])</f>
        <v>Male</v>
      </c>
      <c r="P258">
        <f>IF(calls[[#This Row],[Call number]]&lt;&gt;"",1,0)</f>
        <v>1</v>
      </c>
      <c r="Q258">
        <f>IF(calls[[#This Row],[Rating rounded]]=5,1,0)</f>
        <v>1</v>
      </c>
    </row>
    <row r="259" spans="2:17" x14ac:dyDescent="0.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c r="M259" s="7" t="str">
        <f>_xlfn.XLOOKUP(calls[[#This Row],[Customer ID]],customers[Customer ID],customers[City])</f>
        <v>Cleveland</v>
      </c>
      <c r="N259" s="3" t="str">
        <f>_xlfn.XLOOKUP(calls[[#This Row],[Customer ID]],customers[Customer ID],customers[Gedner])</f>
        <v>Female</v>
      </c>
      <c r="P259">
        <f>IF(calls[[#This Row],[Call number]]&lt;&gt;"",1,0)</f>
        <v>1</v>
      </c>
      <c r="Q259">
        <f>IF(calls[[#This Row],[Rating rounded]]=5,1,0)</f>
        <v>0</v>
      </c>
    </row>
    <row r="260" spans="2:17" x14ac:dyDescent="0.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c r="M260" s="7" t="str">
        <f>_xlfn.XLOOKUP(calls[[#This Row],[Customer ID]],customers[Customer ID],customers[City])</f>
        <v>Cleveland</v>
      </c>
      <c r="N260" s="3" t="str">
        <f>_xlfn.XLOOKUP(calls[[#This Row],[Customer ID]],customers[Customer ID],customers[Gedner])</f>
        <v>Female</v>
      </c>
      <c r="P260">
        <f>IF(calls[[#This Row],[Call number]]&lt;&gt;"",1,0)</f>
        <v>1</v>
      </c>
      <c r="Q260">
        <f>IF(calls[[#This Row],[Rating rounded]]=5,1,0)</f>
        <v>0</v>
      </c>
    </row>
    <row r="261" spans="2:17" x14ac:dyDescent="0.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c r="M261" s="7" t="str">
        <f>_xlfn.XLOOKUP(calls[[#This Row],[Customer ID]],customers[Customer ID],customers[City])</f>
        <v>Columbus</v>
      </c>
      <c r="N261" s="3" t="str">
        <f>_xlfn.XLOOKUP(calls[[#This Row],[Customer ID]],customers[Customer ID],customers[Gedner])</f>
        <v>Male</v>
      </c>
      <c r="P261">
        <f>IF(calls[[#This Row],[Call number]]&lt;&gt;"",1,0)</f>
        <v>1</v>
      </c>
      <c r="Q261">
        <f>IF(calls[[#This Row],[Rating rounded]]=5,1,0)</f>
        <v>0</v>
      </c>
    </row>
    <row r="262" spans="2:17" x14ac:dyDescent="0.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c r="M262" s="7" t="str">
        <f>_xlfn.XLOOKUP(calls[[#This Row],[Customer ID]],customers[Customer ID],customers[City])</f>
        <v>Cincinnati</v>
      </c>
      <c r="N262" s="3" t="str">
        <f>_xlfn.XLOOKUP(calls[[#This Row],[Customer ID]],customers[Customer ID],customers[Gedner])</f>
        <v>Female</v>
      </c>
      <c r="P262">
        <f>IF(calls[[#This Row],[Call number]]&lt;&gt;"",1,0)</f>
        <v>1</v>
      </c>
      <c r="Q262">
        <f>IF(calls[[#This Row],[Rating rounded]]=5,1,0)</f>
        <v>1</v>
      </c>
    </row>
    <row r="263" spans="2:17" x14ac:dyDescent="0.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c r="M263" s="7" t="str">
        <f>_xlfn.XLOOKUP(calls[[#This Row],[Customer ID]],customers[Customer ID],customers[City])</f>
        <v>Cincinnati</v>
      </c>
      <c r="N263" s="3" t="str">
        <f>_xlfn.XLOOKUP(calls[[#This Row],[Customer ID]],customers[Customer ID],customers[Gedner])</f>
        <v>Female</v>
      </c>
      <c r="P263">
        <f>IF(calls[[#This Row],[Call number]]&lt;&gt;"",1,0)</f>
        <v>1</v>
      </c>
      <c r="Q263">
        <f>IF(calls[[#This Row],[Rating rounded]]=5,1,0)</f>
        <v>0</v>
      </c>
    </row>
    <row r="264" spans="2:17" x14ac:dyDescent="0.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c r="M264" s="7" t="str">
        <f>_xlfn.XLOOKUP(calls[[#This Row],[Customer ID]],customers[Customer ID],customers[City])</f>
        <v>Cincinnati</v>
      </c>
      <c r="N264" s="3" t="str">
        <f>_xlfn.XLOOKUP(calls[[#This Row],[Customer ID]],customers[Customer ID],customers[Gedner])</f>
        <v>Female</v>
      </c>
      <c r="P264">
        <f>IF(calls[[#This Row],[Call number]]&lt;&gt;"",1,0)</f>
        <v>1</v>
      </c>
      <c r="Q264">
        <f>IF(calls[[#This Row],[Rating rounded]]=5,1,0)</f>
        <v>1</v>
      </c>
    </row>
    <row r="265" spans="2:17" x14ac:dyDescent="0.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c r="M265" s="7" t="str">
        <f>_xlfn.XLOOKUP(calls[[#This Row],[Customer ID]],customers[Customer ID],customers[City])</f>
        <v>Columbus</v>
      </c>
      <c r="N265" s="3" t="str">
        <f>_xlfn.XLOOKUP(calls[[#This Row],[Customer ID]],customers[Customer ID],customers[Gedner])</f>
        <v>Female</v>
      </c>
      <c r="P265">
        <f>IF(calls[[#This Row],[Call number]]&lt;&gt;"",1,0)</f>
        <v>1</v>
      </c>
      <c r="Q265">
        <f>IF(calls[[#This Row],[Rating rounded]]=5,1,0)</f>
        <v>1</v>
      </c>
    </row>
    <row r="266" spans="2:17" x14ac:dyDescent="0.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c r="M266" s="7" t="str">
        <f>_xlfn.XLOOKUP(calls[[#This Row],[Customer ID]],customers[Customer ID],customers[City])</f>
        <v>Cleveland</v>
      </c>
      <c r="N266" s="3" t="str">
        <f>_xlfn.XLOOKUP(calls[[#This Row],[Customer ID]],customers[Customer ID],customers[Gedner])</f>
        <v>Female</v>
      </c>
      <c r="P266">
        <f>IF(calls[[#This Row],[Call number]]&lt;&gt;"",1,0)</f>
        <v>1</v>
      </c>
      <c r="Q266">
        <f>IF(calls[[#This Row],[Rating rounded]]=5,1,0)</f>
        <v>0</v>
      </c>
    </row>
    <row r="267" spans="2:17" x14ac:dyDescent="0.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c r="M267" s="7" t="str">
        <f>_xlfn.XLOOKUP(calls[[#This Row],[Customer ID]],customers[Customer ID],customers[City])</f>
        <v>Cleveland</v>
      </c>
      <c r="N267" s="3" t="str">
        <f>_xlfn.XLOOKUP(calls[[#This Row],[Customer ID]],customers[Customer ID],customers[Gedner])</f>
        <v>Male</v>
      </c>
      <c r="P267">
        <f>IF(calls[[#This Row],[Call number]]&lt;&gt;"",1,0)</f>
        <v>1</v>
      </c>
      <c r="Q267">
        <f>IF(calls[[#This Row],[Rating rounded]]=5,1,0)</f>
        <v>1</v>
      </c>
    </row>
    <row r="268" spans="2:17" x14ac:dyDescent="0.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c r="M268" s="7" t="str">
        <f>_xlfn.XLOOKUP(calls[[#This Row],[Customer ID]],customers[Customer ID],customers[City])</f>
        <v>Cleveland</v>
      </c>
      <c r="N268" s="3" t="str">
        <f>_xlfn.XLOOKUP(calls[[#This Row],[Customer ID]],customers[Customer ID],customers[Gedner])</f>
        <v>Female</v>
      </c>
      <c r="P268">
        <f>IF(calls[[#This Row],[Call number]]&lt;&gt;"",1,0)</f>
        <v>1</v>
      </c>
      <c r="Q268">
        <f>IF(calls[[#This Row],[Rating rounded]]=5,1,0)</f>
        <v>0</v>
      </c>
    </row>
    <row r="269" spans="2:17" x14ac:dyDescent="0.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c r="M269" s="7" t="str">
        <f>_xlfn.XLOOKUP(calls[[#This Row],[Customer ID]],customers[Customer ID],customers[City])</f>
        <v>Cleveland</v>
      </c>
      <c r="N269" s="3" t="str">
        <f>_xlfn.XLOOKUP(calls[[#This Row],[Customer ID]],customers[Customer ID],customers[Gedner])</f>
        <v>Female</v>
      </c>
      <c r="P269">
        <f>IF(calls[[#This Row],[Call number]]&lt;&gt;"",1,0)</f>
        <v>1</v>
      </c>
      <c r="Q269">
        <f>IF(calls[[#This Row],[Rating rounded]]=5,1,0)</f>
        <v>1</v>
      </c>
    </row>
    <row r="270" spans="2:17" x14ac:dyDescent="0.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c r="M270" s="7" t="str">
        <f>_xlfn.XLOOKUP(calls[[#This Row],[Customer ID]],customers[Customer ID],customers[City])</f>
        <v>Cleveland</v>
      </c>
      <c r="N270" s="3" t="str">
        <f>_xlfn.XLOOKUP(calls[[#This Row],[Customer ID]],customers[Customer ID],customers[Gedner])</f>
        <v>Female</v>
      </c>
      <c r="P270">
        <f>IF(calls[[#This Row],[Call number]]&lt;&gt;"",1,0)</f>
        <v>1</v>
      </c>
      <c r="Q270">
        <f>IF(calls[[#This Row],[Rating rounded]]=5,1,0)</f>
        <v>0</v>
      </c>
    </row>
    <row r="271" spans="2:17" x14ac:dyDescent="0.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c r="M271" s="7" t="str">
        <f>_xlfn.XLOOKUP(calls[[#This Row],[Customer ID]],customers[Customer ID],customers[City])</f>
        <v>Cincinnati</v>
      </c>
      <c r="N271" s="3" t="str">
        <f>_xlfn.XLOOKUP(calls[[#This Row],[Customer ID]],customers[Customer ID],customers[Gedner])</f>
        <v>Female</v>
      </c>
      <c r="P271">
        <f>IF(calls[[#This Row],[Call number]]&lt;&gt;"",1,0)</f>
        <v>1</v>
      </c>
      <c r="Q271">
        <f>IF(calls[[#This Row],[Rating rounded]]=5,1,0)</f>
        <v>0</v>
      </c>
    </row>
    <row r="272" spans="2:17" x14ac:dyDescent="0.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c r="M272" s="7" t="str">
        <f>_xlfn.XLOOKUP(calls[[#This Row],[Customer ID]],customers[Customer ID],customers[City])</f>
        <v>Columbus</v>
      </c>
      <c r="N272" s="3" t="str">
        <f>_xlfn.XLOOKUP(calls[[#This Row],[Customer ID]],customers[Customer ID],customers[Gedner])</f>
        <v>Male</v>
      </c>
      <c r="P272">
        <f>IF(calls[[#This Row],[Call number]]&lt;&gt;"",1,0)</f>
        <v>1</v>
      </c>
      <c r="Q272">
        <f>IF(calls[[#This Row],[Rating rounded]]=5,1,0)</f>
        <v>0</v>
      </c>
    </row>
    <row r="273" spans="2:17" x14ac:dyDescent="0.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c r="M273" s="7" t="str">
        <f>_xlfn.XLOOKUP(calls[[#This Row],[Customer ID]],customers[Customer ID],customers[City])</f>
        <v>Cincinnati</v>
      </c>
      <c r="N273" s="3" t="str">
        <f>_xlfn.XLOOKUP(calls[[#This Row],[Customer ID]],customers[Customer ID],customers[Gedner])</f>
        <v>Female</v>
      </c>
      <c r="P273">
        <f>IF(calls[[#This Row],[Call number]]&lt;&gt;"",1,0)</f>
        <v>1</v>
      </c>
      <c r="Q273">
        <f>IF(calls[[#This Row],[Rating rounded]]=5,1,0)</f>
        <v>0</v>
      </c>
    </row>
    <row r="274" spans="2:17" x14ac:dyDescent="0.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c r="M274" s="7" t="str">
        <f>_xlfn.XLOOKUP(calls[[#This Row],[Customer ID]],customers[Customer ID],customers[City])</f>
        <v>Cleveland</v>
      </c>
      <c r="N274" s="3" t="str">
        <f>_xlfn.XLOOKUP(calls[[#This Row],[Customer ID]],customers[Customer ID],customers[Gedner])</f>
        <v>Female</v>
      </c>
      <c r="P274">
        <f>IF(calls[[#This Row],[Call number]]&lt;&gt;"",1,0)</f>
        <v>1</v>
      </c>
      <c r="Q274">
        <f>IF(calls[[#This Row],[Rating rounded]]=5,1,0)</f>
        <v>0</v>
      </c>
    </row>
    <row r="275" spans="2:17" x14ac:dyDescent="0.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c r="M275" s="7" t="str">
        <f>_xlfn.XLOOKUP(calls[[#This Row],[Customer ID]],customers[Customer ID],customers[City])</f>
        <v>Columbus</v>
      </c>
      <c r="N275" s="3" t="str">
        <f>_xlfn.XLOOKUP(calls[[#This Row],[Customer ID]],customers[Customer ID],customers[Gedner])</f>
        <v>Male</v>
      </c>
      <c r="P275">
        <f>IF(calls[[#This Row],[Call number]]&lt;&gt;"",1,0)</f>
        <v>1</v>
      </c>
      <c r="Q275">
        <f>IF(calls[[#This Row],[Rating rounded]]=5,1,0)</f>
        <v>0</v>
      </c>
    </row>
    <row r="276" spans="2:17" x14ac:dyDescent="0.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c r="M276" s="7" t="str">
        <f>_xlfn.XLOOKUP(calls[[#This Row],[Customer ID]],customers[Customer ID],customers[City])</f>
        <v>Columbus</v>
      </c>
      <c r="N276" s="3" t="str">
        <f>_xlfn.XLOOKUP(calls[[#This Row],[Customer ID]],customers[Customer ID],customers[Gedner])</f>
        <v>Female</v>
      </c>
      <c r="P276">
        <f>IF(calls[[#This Row],[Call number]]&lt;&gt;"",1,0)</f>
        <v>1</v>
      </c>
      <c r="Q276">
        <f>IF(calls[[#This Row],[Rating rounded]]=5,1,0)</f>
        <v>0</v>
      </c>
    </row>
    <row r="277" spans="2:17" x14ac:dyDescent="0.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c r="M277" s="7" t="str">
        <f>_xlfn.XLOOKUP(calls[[#This Row],[Customer ID]],customers[Customer ID],customers[City])</f>
        <v>Cincinnati</v>
      </c>
      <c r="N277" s="3" t="str">
        <f>_xlfn.XLOOKUP(calls[[#This Row],[Customer ID]],customers[Customer ID],customers[Gedner])</f>
        <v>Female</v>
      </c>
      <c r="P277">
        <f>IF(calls[[#This Row],[Call number]]&lt;&gt;"",1,0)</f>
        <v>1</v>
      </c>
      <c r="Q277">
        <f>IF(calls[[#This Row],[Rating rounded]]=5,1,0)</f>
        <v>0</v>
      </c>
    </row>
    <row r="278" spans="2:17" x14ac:dyDescent="0.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c r="M278" s="7" t="str">
        <f>_xlfn.XLOOKUP(calls[[#This Row],[Customer ID]],customers[Customer ID],customers[City])</f>
        <v>Cincinnati</v>
      </c>
      <c r="N278" s="3" t="str">
        <f>_xlfn.XLOOKUP(calls[[#This Row],[Customer ID]],customers[Customer ID],customers[Gedner])</f>
        <v>Male</v>
      </c>
      <c r="P278">
        <f>IF(calls[[#This Row],[Call number]]&lt;&gt;"",1,0)</f>
        <v>1</v>
      </c>
      <c r="Q278">
        <f>IF(calls[[#This Row],[Rating rounded]]=5,1,0)</f>
        <v>0</v>
      </c>
    </row>
    <row r="279" spans="2:17" x14ac:dyDescent="0.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c r="M279" s="7" t="str">
        <f>_xlfn.XLOOKUP(calls[[#This Row],[Customer ID]],customers[Customer ID],customers[City])</f>
        <v>Cincinnati</v>
      </c>
      <c r="N279" s="3" t="str">
        <f>_xlfn.XLOOKUP(calls[[#This Row],[Customer ID]],customers[Customer ID],customers[Gedner])</f>
        <v>Male</v>
      </c>
      <c r="P279">
        <f>IF(calls[[#This Row],[Call number]]&lt;&gt;"",1,0)</f>
        <v>1</v>
      </c>
      <c r="Q279">
        <f>IF(calls[[#This Row],[Rating rounded]]=5,1,0)</f>
        <v>0</v>
      </c>
    </row>
    <row r="280" spans="2:17" x14ac:dyDescent="0.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c r="M280" s="7" t="str">
        <f>_xlfn.XLOOKUP(calls[[#This Row],[Customer ID]],customers[Customer ID],customers[City])</f>
        <v>Cincinnati</v>
      </c>
      <c r="N280" s="3" t="str">
        <f>_xlfn.XLOOKUP(calls[[#This Row],[Customer ID]],customers[Customer ID],customers[Gedner])</f>
        <v>Female</v>
      </c>
      <c r="P280">
        <f>IF(calls[[#This Row],[Call number]]&lt;&gt;"",1,0)</f>
        <v>1</v>
      </c>
      <c r="Q280">
        <f>IF(calls[[#This Row],[Rating rounded]]=5,1,0)</f>
        <v>1</v>
      </c>
    </row>
    <row r="281" spans="2:17" x14ac:dyDescent="0.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c r="M281" s="7" t="str">
        <f>_xlfn.XLOOKUP(calls[[#This Row],[Customer ID]],customers[Customer ID],customers[City])</f>
        <v>Columbus</v>
      </c>
      <c r="N281" s="3" t="str">
        <f>_xlfn.XLOOKUP(calls[[#This Row],[Customer ID]],customers[Customer ID],customers[Gedner])</f>
        <v>Male</v>
      </c>
      <c r="P281">
        <f>IF(calls[[#This Row],[Call number]]&lt;&gt;"",1,0)</f>
        <v>1</v>
      </c>
      <c r="Q281">
        <f>IF(calls[[#This Row],[Rating rounded]]=5,1,0)</f>
        <v>0</v>
      </c>
    </row>
    <row r="282" spans="2:17" x14ac:dyDescent="0.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c r="M282" s="7" t="str">
        <f>_xlfn.XLOOKUP(calls[[#This Row],[Customer ID]],customers[Customer ID],customers[City])</f>
        <v>Cleveland</v>
      </c>
      <c r="N282" s="3" t="str">
        <f>_xlfn.XLOOKUP(calls[[#This Row],[Customer ID]],customers[Customer ID],customers[Gedner])</f>
        <v>Female</v>
      </c>
      <c r="P282">
        <f>IF(calls[[#This Row],[Call number]]&lt;&gt;"",1,0)</f>
        <v>1</v>
      </c>
      <c r="Q282">
        <f>IF(calls[[#This Row],[Rating rounded]]=5,1,0)</f>
        <v>1</v>
      </c>
    </row>
    <row r="283" spans="2:17" x14ac:dyDescent="0.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c r="M283" s="7" t="str">
        <f>_xlfn.XLOOKUP(calls[[#This Row],[Customer ID]],customers[Customer ID],customers[City])</f>
        <v>Cleveland</v>
      </c>
      <c r="N283" s="3" t="str">
        <f>_xlfn.XLOOKUP(calls[[#This Row],[Customer ID]],customers[Customer ID],customers[Gedner])</f>
        <v>Female</v>
      </c>
      <c r="P283">
        <f>IF(calls[[#This Row],[Call number]]&lt;&gt;"",1,0)</f>
        <v>1</v>
      </c>
      <c r="Q283">
        <f>IF(calls[[#This Row],[Rating rounded]]=5,1,0)</f>
        <v>1</v>
      </c>
    </row>
    <row r="284" spans="2:17" x14ac:dyDescent="0.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c r="M284" s="7" t="str">
        <f>_xlfn.XLOOKUP(calls[[#This Row],[Customer ID]],customers[Customer ID],customers[City])</f>
        <v>Cincinnati</v>
      </c>
      <c r="N284" s="3" t="str">
        <f>_xlfn.XLOOKUP(calls[[#This Row],[Customer ID]],customers[Customer ID],customers[Gedner])</f>
        <v>Male</v>
      </c>
      <c r="P284">
        <f>IF(calls[[#This Row],[Call number]]&lt;&gt;"",1,0)</f>
        <v>1</v>
      </c>
      <c r="Q284">
        <f>IF(calls[[#This Row],[Rating rounded]]=5,1,0)</f>
        <v>0</v>
      </c>
    </row>
    <row r="285" spans="2:17" x14ac:dyDescent="0.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c r="M285" s="7" t="str">
        <f>_xlfn.XLOOKUP(calls[[#This Row],[Customer ID]],customers[Customer ID],customers[City])</f>
        <v>Columbus</v>
      </c>
      <c r="N285" s="3" t="str">
        <f>_xlfn.XLOOKUP(calls[[#This Row],[Customer ID]],customers[Customer ID],customers[Gedner])</f>
        <v>Male</v>
      </c>
      <c r="P285">
        <f>IF(calls[[#This Row],[Call number]]&lt;&gt;"",1,0)</f>
        <v>1</v>
      </c>
      <c r="Q285">
        <f>IF(calls[[#This Row],[Rating rounded]]=5,1,0)</f>
        <v>0</v>
      </c>
    </row>
    <row r="286" spans="2:17" x14ac:dyDescent="0.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c r="M286" s="7" t="str">
        <f>_xlfn.XLOOKUP(calls[[#This Row],[Customer ID]],customers[Customer ID],customers[City])</f>
        <v>Cleveland</v>
      </c>
      <c r="N286" s="3" t="str">
        <f>_xlfn.XLOOKUP(calls[[#This Row],[Customer ID]],customers[Customer ID],customers[Gedner])</f>
        <v>Female</v>
      </c>
      <c r="P286">
        <f>IF(calls[[#This Row],[Call number]]&lt;&gt;"",1,0)</f>
        <v>1</v>
      </c>
      <c r="Q286">
        <f>IF(calls[[#This Row],[Rating rounded]]=5,1,0)</f>
        <v>0</v>
      </c>
    </row>
    <row r="287" spans="2:17" x14ac:dyDescent="0.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c r="M287" s="7" t="str">
        <f>_xlfn.XLOOKUP(calls[[#This Row],[Customer ID]],customers[Customer ID],customers[City])</f>
        <v>Cincinnati</v>
      </c>
      <c r="N287" s="3" t="str">
        <f>_xlfn.XLOOKUP(calls[[#This Row],[Customer ID]],customers[Customer ID],customers[Gedner])</f>
        <v>Female</v>
      </c>
      <c r="P287">
        <f>IF(calls[[#This Row],[Call number]]&lt;&gt;"",1,0)</f>
        <v>1</v>
      </c>
      <c r="Q287">
        <f>IF(calls[[#This Row],[Rating rounded]]=5,1,0)</f>
        <v>0</v>
      </c>
    </row>
    <row r="288" spans="2:17" x14ac:dyDescent="0.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c r="M288" s="7" t="str">
        <f>_xlfn.XLOOKUP(calls[[#This Row],[Customer ID]],customers[Customer ID],customers[City])</f>
        <v>Cleveland</v>
      </c>
      <c r="N288" s="3" t="str">
        <f>_xlfn.XLOOKUP(calls[[#This Row],[Customer ID]],customers[Customer ID],customers[Gedner])</f>
        <v>Male</v>
      </c>
      <c r="P288">
        <f>IF(calls[[#This Row],[Call number]]&lt;&gt;"",1,0)</f>
        <v>1</v>
      </c>
      <c r="Q288">
        <f>IF(calls[[#This Row],[Rating rounded]]=5,1,0)</f>
        <v>0</v>
      </c>
    </row>
    <row r="289" spans="2:17" x14ac:dyDescent="0.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c r="M289" s="7" t="str">
        <f>_xlfn.XLOOKUP(calls[[#This Row],[Customer ID]],customers[Customer ID],customers[City])</f>
        <v>Cincinnati</v>
      </c>
      <c r="N289" s="3" t="str">
        <f>_xlfn.XLOOKUP(calls[[#This Row],[Customer ID]],customers[Customer ID],customers[Gedner])</f>
        <v>Female</v>
      </c>
      <c r="P289">
        <f>IF(calls[[#This Row],[Call number]]&lt;&gt;"",1,0)</f>
        <v>1</v>
      </c>
      <c r="Q289">
        <f>IF(calls[[#This Row],[Rating rounded]]=5,1,0)</f>
        <v>0</v>
      </c>
    </row>
    <row r="290" spans="2:17" x14ac:dyDescent="0.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c r="M290" s="7" t="str">
        <f>_xlfn.XLOOKUP(calls[[#This Row],[Customer ID]],customers[Customer ID],customers[City])</f>
        <v>Cleveland</v>
      </c>
      <c r="N290" s="3" t="str">
        <f>_xlfn.XLOOKUP(calls[[#This Row],[Customer ID]],customers[Customer ID],customers[Gedner])</f>
        <v>Female</v>
      </c>
      <c r="P290">
        <f>IF(calls[[#This Row],[Call number]]&lt;&gt;"",1,0)</f>
        <v>1</v>
      </c>
      <c r="Q290">
        <f>IF(calls[[#This Row],[Rating rounded]]=5,1,0)</f>
        <v>1</v>
      </c>
    </row>
    <row r="291" spans="2:17" x14ac:dyDescent="0.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c r="M291" s="7" t="str">
        <f>_xlfn.XLOOKUP(calls[[#This Row],[Customer ID]],customers[Customer ID],customers[City])</f>
        <v>Cincinnati</v>
      </c>
      <c r="N291" s="3" t="str">
        <f>_xlfn.XLOOKUP(calls[[#This Row],[Customer ID]],customers[Customer ID],customers[Gedner])</f>
        <v>Male</v>
      </c>
      <c r="P291">
        <f>IF(calls[[#This Row],[Call number]]&lt;&gt;"",1,0)</f>
        <v>1</v>
      </c>
      <c r="Q291">
        <f>IF(calls[[#This Row],[Rating rounded]]=5,1,0)</f>
        <v>0</v>
      </c>
    </row>
    <row r="292" spans="2:17" x14ac:dyDescent="0.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c r="M292" s="7" t="str">
        <f>_xlfn.XLOOKUP(calls[[#This Row],[Customer ID]],customers[Customer ID],customers[City])</f>
        <v>Cleveland</v>
      </c>
      <c r="N292" s="3" t="str">
        <f>_xlfn.XLOOKUP(calls[[#This Row],[Customer ID]],customers[Customer ID],customers[Gedner])</f>
        <v>Female</v>
      </c>
      <c r="P292">
        <f>IF(calls[[#This Row],[Call number]]&lt;&gt;"",1,0)</f>
        <v>1</v>
      </c>
      <c r="Q292">
        <f>IF(calls[[#This Row],[Rating rounded]]=5,1,0)</f>
        <v>0</v>
      </c>
    </row>
    <row r="293" spans="2:17" x14ac:dyDescent="0.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c r="M293" s="7" t="str">
        <f>_xlfn.XLOOKUP(calls[[#This Row],[Customer ID]],customers[Customer ID],customers[City])</f>
        <v>Cleveland</v>
      </c>
      <c r="N293" s="3" t="str">
        <f>_xlfn.XLOOKUP(calls[[#This Row],[Customer ID]],customers[Customer ID],customers[Gedner])</f>
        <v>Female</v>
      </c>
      <c r="P293">
        <f>IF(calls[[#This Row],[Call number]]&lt;&gt;"",1,0)</f>
        <v>1</v>
      </c>
      <c r="Q293">
        <f>IF(calls[[#This Row],[Rating rounded]]=5,1,0)</f>
        <v>1</v>
      </c>
    </row>
    <row r="294" spans="2:17" x14ac:dyDescent="0.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c r="M294" s="7" t="str">
        <f>_xlfn.XLOOKUP(calls[[#This Row],[Customer ID]],customers[Customer ID],customers[City])</f>
        <v>Cleveland</v>
      </c>
      <c r="N294" s="3" t="str">
        <f>_xlfn.XLOOKUP(calls[[#This Row],[Customer ID]],customers[Customer ID],customers[Gedner])</f>
        <v>Female</v>
      </c>
      <c r="P294">
        <f>IF(calls[[#This Row],[Call number]]&lt;&gt;"",1,0)</f>
        <v>1</v>
      </c>
      <c r="Q294">
        <f>IF(calls[[#This Row],[Rating rounded]]=5,1,0)</f>
        <v>1</v>
      </c>
    </row>
    <row r="295" spans="2:17" x14ac:dyDescent="0.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c r="M295" s="7" t="str">
        <f>_xlfn.XLOOKUP(calls[[#This Row],[Customer ID]],customers[Customer ID],customers[City])</f>
        <v>Cleveland</v>
      </c>
      <c r="N295" s="3" t="str">
        <f>_xlfn.XLOOKUP(calls[[#This Row],[Customer ID]],customers[Customer ID],customers[Gedner])</f>
        <v>Female</v>
      </c>
      <c r="P295">
        <f>IF(calls[[#This Row],[Call number]]&lt;&gt;"",1,0)</f>
        <v>1</v>
      </c>
      <c r="Q295">
        <f>IF(calls[[#This Row],[Rating rounded]]=5,1,0)</f>
        <v>1</v>
      </c>
    </row>
    <row r="296" spans="2:17" x14ac:dyDescent="0.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c r="M296" s="7" t="str">
        <f>_xlfn.XLOOKUP(calls[[#This Row],[Customer ID]],customers[Customer ID],customers[City])</f>
        <v>Cincinnati</v>
      </c>
      <c r="N296" s="3" t="str">
        <f>_xlfn.XLOOKUP(calls[[#This Row],[Customer ID]],customers[Customer ID],customers[Gedner])</f>
        <v>Female</v>
      </c>
      <c r="P296">
        <f>IF(calls[[#This Row],[Call number]]&lt;&gt;"",1,0)</f>
        <v>1</v>
      </c>
      <c r="Q296">
        <f>IF(calls[[#This Row],[Rating rounded]]=5,1,0)</f>
        <v>0</v>
      </c>
    </row>
    <row r="297" spans="2:17" x14ac:dyDescent="0.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c r="M297" s="7" t="str">
        <f>_xlfn.XLOOKUP(calls[[#This Row],[Customer ID]],customers[Customer ID],customers[City])</f>
        <v>Cleveland</v>
      </c>
      <c r="N297" s="3" t="str">
        <f>_xlfn.XLOOKUP(calls[[#This Row],[Customer ID]],customers[Customer ID],customers[Gedner])</f>
        <v>Female</v>
      </c>
      <c r="P297">
        <f>IF(calls[[#This Row],[Call number]]&lt;&gt;"",1,0)</f>
        <v>1</v>
      </c>
      <c r="Q297">
        <f>IF(calls[[#This Row],[Rating rounded]]=5,1,0)</f>
        <v>1</v>
      </c>
    </row>
    <row r="298" spans="2:17" x14ac:dyDescent="0.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c r="M298" s="7" t="str">
        <f>_xlfn.XLOOKUP(calls[[#This Row],[Customer ID]],customers[Customer ID],customers[City])</f>
        <v>Columbus</v>
      </c>
      <c r="N298" s="3" t="str">
        <f>_xlfn.XLOOKUP(calls[[#This Row],[Customer ID]],customers[Customer ID],customers[Gedner])</f>
        <v>Male</v>
      </c>
      <c r="P298">
        <f>IF(calls[[#This Row],[Call number]]&lt;&gt;"",1,0)</f>
        <v>1</v>
      </c>
      <c r="Q298">
        <f>IF(calls[[#This Row],[Rating rounded]]=5,1,0)</f>
        <v>0</v>
      </c>
    </row>
    <row r="299" spans="2:17" x14ac:dyDescent="0.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c r="M299" s="7" t="str">
        <f>_xlfn.XLOOKUP(calls[[#This Row],[Customer ID]],customers[Customer ID],customers[City])</f>
        <v>Cleveland</v>
      </c>
      <c r="N299" s="3" t="str">
        <f>_xlfn.XLOOKUP(calls[[#This Row],[Customer ID]],customers[Customer ID],customers[Gedner])</f>
        <v>Female</v>
      </c>
      <c r="P299">
        <f>IF(calls[[#This Row],[Call number]]&lt;&gt;"",1,0)</f>
        <v>1</v>
      </c>
      <c r="Q299">
        <f>IF(calls[[#This Row],[Rating rounded]]=5,1,0)</f>
        <v>0</v>
      </c>
    </row>
    <row r="300" spans="2:17" x14ac:dyDescent="0.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c r="M300" s="7" t="str">
        <f>_xlfn.XLOOKUP(calls[[#This Row],[Customer ID]],customers[Customer ID],customers[City])</f>
        <v>Columbus</v>
      </c>
      <c r="N300" s="3" t="str">
        <f>_xlfn.XLOOKUP(calls[[#This Row],[Customer ID]],customers[Customer ID],customers[Gedner])</f>
        <v>Male</v>
      </c>
      <c r="P300">
        <f>IF(calls[[#This Row],[Call number]]&lt;&gt;"",1,0)</f>
        <v>1</v>
      </c>
      <c r="Q300">
        <f>IF(calls[[#This Row],[Rating rounded]]=5,1,0)</f>
        <v>0</v>
      </c>
    </row>
    <row r="301" spans="2:17" x14ac:dyDescent="0.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c r="M301" s="7" t="str">
        <f>_xlfn.XLOOKUP(calls[[#This Row],[Customer ID]],customers[Customer ID],customers[City])</f>
        <v>Cincinnati</v>
      </c>
      <c r="N301" s="3" t="str">
        <f>_xlfn.XLOOKUP(calls[[#This Row],[Customer ID]],customers[Customer ID],customers[Gedner])</f>
        <v>Female</v>
      </c>
      <c r="P301">
        <f>IF(calls[[#This Row],[Call number]]&lt;&gt;"",1,0)</f>
        <v>1</v>
      </c>
      <c r="Q301">
        <f>IF(calls[[#This Row],[Rating rounded]]=5,1,0)</f>
        <v>0</v>
      </c>
    </row>
    <row r="302" spans="2:17" x14ac:dyDescent="0.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c r="M302" s="7" t="str">
        <f>_xlfn.XLOOKUP(calls[[#This Row],[Customer ID]],customers[Customer ID],customers[City])</f>
        <v>Columbus</v>
      </c>
      <c r="N302" s="3" t="str">
        <f>_xlfn.XLOOKUP(calls[[#This Row],[Customer ID]],customers[Customer ID],customers[Gedner])</f>
        <v>Male</v>
      </c>
      <c r="P302">
        <f>IF(calls[[#This Row],[Call number]]&lt;&gt;"",1,0)</f>
        <v>1</v>
      </c>
      <c r="Q302">
        <f>IF(calls[[#This Row],[Rating rounded]]=5,1,0)</f>
        <v>1</v>
      </c>
    </row>
    <row r="303" spans="2:17" x14ac:dyDescent="0.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c r="M303" s="7" t="str">
        <f>_xlfn.XLOOKUP(calls[[#This Row],[Customer ID]],customers[Customer ID],customers[City])</f>
        <v>Columbus</v>
      </c>
      <c r="N303" s="3" t="str">
        <f>_xlfn.XLOOKUP(calls[[#This Row],[Customer ID]],customers[Customer ID],customers[Gedner])</f>
        <v>Female</v>
      </c>
      <c r="P303">
        <f>IF(calls[[#This Row],[Call number]]&lt;&gt;"",1,0)</f>
        <v>1</v>
      </c>
      <c r="Q303">
        <f>IF(calls[[#This Row],[Rating rounded]]=5,1,0)</f>
        <v>0</v>
      </c>
    </row>
    <row r="304" spans="2:17" x14ac:dyDescent="0.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c r="M304" s="7" t="str">
        <f>_xlfn.XLOOKUP(calls[[#This Row],[Customer ID]],customers[Customer ID],customers[City])</f>
        <v>Cincinnati</v>
      </c>
      <c r="N304" s="3" t="str">
        <f>_xlfn.XLOOKUP(calls[[#This Row],[Customer ID]],customers[Customer ID],customers[Gedner])</f>
        <v>Male</v>
      </c>
      <c r="P304">
        <f>IF(calls[[#This Row],[Call number]]&lt;&gt;"",1,0)</f>
        <v>1</v>
      </c>
      <c r="Q304">
        <f>IF(calls[[#This Row],[Rating rounded]]=5,1,0)</f>
        <v>0</v>
      </c>
    </row>
    <row r="305" spans="2:17" x14ac:dyDescent="0.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c r="M305" s="7" t="str">
        <f>_xlfn.XLOOKUP(calls[[#This Row],[Customer ID]],customers[Customer ID],customers[City])</f>
        <v>Columbus</v>
      </c>
      <c r="N305" s="3" t="str">
        <f>_xlfn.XLOOKUP(calls[[#This Row],[Customer ID]],customers[Customer ID],customers[Gedner])</f>
        <v>Female</v>
      </c>
      <c r="P305">
        <f>IF(calls[[#This Row],[Call number]]&lt;&gt;"",1,0)</f>
        <v>1</v>
      </c>
      <c r="Q305">
        <f>IF(calls[[#This Row],[Rating rounded]]=5,1,0)</f>
        <v>0</v>
      </c>
    </row>
    <row r="306" spans="2:17" x14ac:dyDescent="0.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c r="M306" s="7" t="str">
        <f>_xlfn.XLOOKUP(calls[[#This Row],[Customer ID]],customers[Customer ID],customers[City])</f>
        <v>Cleveland</v>
      </c>
      <c r="N306" s="3" t="str">
        <f>_xlfn.XLOOKUP(calls[[#This Row],[Customer ID]],customers[Customer ID],customers[Gedner])</f>
        <v>Female</v>
      </c>
      <c r="P306">
        <f>IF(calls[[#This Row],[Call number]]&lt;&gt;"",1,0)</f>
        <v>1</v>
      </c>
      <c r="Q306">
        <f>IF(calls[[#This Row],[Rating rounded]]=5,1,0)</f>
        <v>0</v>
      </c>
    </row>
    <row r="307" spans="2:17" x14ac:dyDescent="0.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c r="M307" s="7" t="str">
        <f>_xlfn.XLOOKUP(calls[[#This Row],[Customer ID]],customers[Customer ID],customers[City])</f>
        <v>Columbus</v>
      </c>
      <c r="N307" s="3" t="str">
        <f>_xlfn.XLOOKUP(calls[[#This Row],[Customer ID]],customers[Customer ID],customers[Gedner])</f>
        <v>Male</v>
      </c>
      <c r="P307">
        <f>IF(calls[[#This Row],[Call number]]&lt;&gt;"",1,0)</f>
        <v>1</v>
      </c>
      <c r="Q307">
        <f>IF(calls[[#This Row],[Rating rounded]]=5,1,0)</f>
        <v>0</v>
      </c>
    </row>
    <row r="308" spans="2:17" x14ac:dyDescent="0.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c r="M308" s="7" t="str">
        <f>_xlfn.XLOOKUP(calls[[#This Row],[Customer ID]],customers[Customer ID],customers[City])</f>
        <v>Cleveland</v>
      </c>
      <c r="N308" s="3" t="str">
        <f>_xlfn.XLOOKUP(calls[[#This Row],[Customer ID]],customers[Customer ID],customers[Gedner])</f>
        <v>Female</v>
      </c>
      <c r="P308">
        <f>IF(calls[[#This Row],[Call number]]&lt;&gt;"",1,0)</f>
        <v>1</v>
      </c>
      <c r="Q308">
        <f>IF(calls[[#This Row],[Rating rounded]]=5,1,0)</f>
        <v>0</v>
      </c>
    </row>
    <row r="309" spans="2:17" x14ac:dyDescent="0.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c r="M309" s="7" t="str">
        <f>_xlfn.XLOOKUP(calls[[#This Row],[Customer ID]],customers[Customer ID],customers[City])</f>
        <v>Cincinnati</v>
      </c>
      <c r="N309" s="3" t="str">
        <f>_xlfn.XLOOKUP(calls[[#This Row],[Customer ID]],customers[Customer ID],customers[Gedner])</f>
        <v>Female</v>
      </c>
      <c r="P309">
        <f>IF(calls[[#This Row],[Call number]]&lt;&gt;"",1,0)</f>
        <v>1</v>
      </c>
      <c r="Q309">
        <f>IF(calls[[#This Row],[Rating rounded]]=5,1,0)</f>
        <v>1</v>
      </c>
    </row>
    <row r="310" spans="2:17" x14ac:dyDescent="0.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c r="M310" s="7" t="str">
        <f>_xlfn.XLOOKUP(calls[[#This Row],[Customer ID]],customers[Customer ID],customers[City])</f>
        <v>Cincinnati</v>
      </c>
      <c r="N310" s="3" t="str">
        <f>_xlfn.XLOOKUP(calls[[#This Row],[Customer ID]],customers[Customer ID],customers[Gedner])</f>
        <v>Male</v>
      </c>
      <c r="P310">
        <f>IF(calls[[#This Row],[Call number]]&lt;&gt;"",1,0)</f>
        <v>1</v>
      </c>
      <c r="Q310">
        <f>IF(calls[[#This Row],[Rating rounded]]=5,1,0)</f>
        <v>0</v>
      </c>
    </row>
    <row r="311" spans="2:17" x14ac:dyDescent="0.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c r="M311" s="7" t="str">
        <f>_xlfn.XLOOKUP(calls[[#This Row],[Customer ID]],customers[Customer ID],customers[City])</f>
        <v>Columbus</v>
      </c>
      <c r="N311" s="3" t="str">
        <f>_xlfn.XLOOKUP(calls[[#This Row],[Customer ID]],customers[Customer ID],customers[Gedner])</f>
        <v>Male</v>
      </c>
      <c r="P311">
        <f>IF(calls[[#This Row],[Call number]]&lt;&gt;"",1,0)</f>
        <v>1</v>
      </c>
      <c r="Q311">
        <f>IF(calls[[#This Row],[Rating rounded]]=5,1,0)</f>
        <v>1</v>
      </c>
    </row>
    <row r="312" spans="2:17" x14ac:dyDescent="0.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c r="M312" s="7" t="str">
        <f>_xlfn.XLOOKUP(calls[[#This Row],[Customer ID]],customers[Customer ID],customers[City])</f>
        <v>Columbus</v>
      </c>
      <c r="N312" s="3" t="str">
        <f>_xlfn.XLOOKUP(calls[[#This Row],[Customer ID]],customers[Customer ID],customers[Gedner])</f>
        <v>Male</v>
      </c>
      <c r="P312">
        <f>IF(calls[[#This Row],[Call number]]&lt;&gt;"",1,0)</f>
        <v>1</v>
      </c>
      <c r="Q312">
        <f>IF(calls[[#This Row],[Rating rounded]]=5,1,0)</f>
        <v>1</v>
      </c>
    </row>
    <row r="313" spans="2:17" x14ac:dyDescent="0.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c r="M313" s="7" t="str">
        <f>_xlfn.XLOOKUP(calls[[#This Row],[Customer ID]],customers[Customer ID],customers[City])</f>
        <v>Columbus</v>
      </c>
      <c r="N313" s="3" t="str">
        <f>_xlfn.XLOOKUP(calls[[#This Row],[Customer ID]],customers[Customer ID],customers[Gedner])</f>
        <v>Male</v>
      </c>
      <c r="P313">
        <f>IF(calls[[#This Row],[Call number]]&lt;&gt;"",1,0)</f>
        <v>1</v>
      </c>
      <c r="Q313">
        <f>IF(calls[[#This Row],[Rating rounded]]=5,1,0)</f>
        <v>1</v>
      </c>
    </row>
    <row r="314" spans="2:17" x14ac:dyDescent="0.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c r="M314" s="7" t="str">
        <f>_xlfn.XLOOKUP(calls[[#This Row],[Customer ID]],customers[Customer ID],customers[City])</f>
        <v>Cleveland</v>
      </c>
      <c r="N314" s="3" t="str">
        <f>_xlfn.XLOOKUP(calls[[#This Row],[Customer ID]],customers[Customer ID],customers[Gedner])</f>
        <v>Female</v>
      </c>
      <c r="P314">
        <f>IF(calls[[#This Row],[Call number]]&lt;&gt;"",1,0)</f>
        <v>1</v>
      </c>
      <c r="Q314">
        <f>IF(calls[[#This Row],[Rating rounded]]=5,1,0)</f>
        <v>0</v>
      </c>
    </row>
    <row r="315" spans="2:17" x14ac:dyDescent="0.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c r="M315" s="7" t="str">
        <f>_xlfn.XLOOKUP(calls[[#This Row],[Customer ID]],customers[Customer ID],customers[City])</f>
        <v>Cincinnati</v>
      </c>
      <c r="N315" s="3" t="str">
        <f>_xlfn.XLOOKUP(calls[[#This Row],[Customer ID]],customers[Customer ID],customers[Gedner])</f>
        <v>Female</v>
      </c>
      <c r="P315">
        <f>IF(calls[[#This Row],[Call number]]&lt;&gt;"",1,0)</f>
        <v>1</v>
      </c>
      <c r="Q315">
        <f>IF(calls[[#This Row],[Rating rounded]]=5,1,0)</f>
        <v>0</v>
      </c>
    </row>
    <row r="316" spans="2:17" x14ac:dyDescent="0.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c r="M316" s="7" t="str">
        <f>_xlfn.XLOOKUP(calls[[#This Row],[Customer ID]],customers[Customer ID],customers[City])</f>
        <v>Columbus</v>
      </c>
      <c r="N316" s="3" t="str">
        <f>_xlfn.XLOOKUP(calls[[#This Row],[Customer ID]],customers[Customer ID],customers[Gedner])</f>
        <v>Female</v>
      </c>
      <c r="P316">
        <f>IF(calls[[#This Row],[Call number]]&lt;&gt;"",1,0)</f>
        <v>1</v>
      </c>
      <c r="Q316">
        <f>IF(calls[[#This Row],[Rating rounded]]=5,1,0)</f>
        <v>0</v>
      </c>
    </row>
    <row r="317" spans="2:17" x14ac:dyDescent="0.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c r="M317" s="7" t="str">
        <f>_xlfn.XLOOKUP(calls[[#This Row],[Customer ID]],customers[Customer ID],customers[City])</f>
        <v>Cleveland</v>
      </c>
      <c r="N317" s="3" t="str">
        <f>_xlfn.XLOOKUP(calls[[#This Row],[Customer ID]],customers[Customer ID],customers[Gedner])</f>
        <v>Female</v>
      </c>
      <c r="P317">
        <f>IF(calls[[#This Row],[Call number]]&lt;&gt;"",1,0)</f>
        <v>1</v>
      </c>
      <c r="Q317">
        <f>IF(calls[[#This Row],[Rating rounded]]=5,1,0)</f>
        <v>0</v>
      </c>
    </row>
    <row r="318" spans="2:17" x14ac:dyDescent="0.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c r="M318" s="7" t="str">
        <f>_xlfn.XLOOKUP(calls[[#This Row],[Customer ID]],customers[Customer ID],customers[City])</f>
        <v>Cleveland</v>
      </c>
      <c r="N318" s="3" t="str">
        <f>_xlfn.XLOOKUP(calls[[#This Row],[Customer ID]],customers[Customer ID],customers[Gedner])</f>
        <v>Female</v>
      </c>
      <c r="P318">
        <f>IF(calls[[#This Row],[Call number]]&lt;&gt;"",1,0)</f>
        <v>1</v>
      </c>
      <c r="Q318">
        <f>IF(calls[[#This Row],[Rating rounded]]=5,1,0)</f>
        <v>0</v>
      </c>
    </row>
    <row r="319" spans="2:17" x14ac:dyDescent="0.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c r="M319" s="7" t="str">
        <f>_xlfn.XLOOKUP(calls[[#This Row],[Customer ID]],customers[Customer ID],customers[City])</f>
        <v>Cleveland</v>
      </c>
      <c r="N319" s="3" t="str">
        <f>_xlfn.XLOOKUP(calls[[#This Row],[Customer ID]],customers[Customer ID],customers[Gedner])</f>
        <v>Female</v>
      </c>
      <c r="P319">
        <f>IF(calls[[#This Row],[Call number]]&lt;&gt;"",1,0)</f>
        <v>1</v>
      </c>
      <c r="Q319">
        <f>IF(calls[[#This Row],[Rating rounded]]=5,1,0)</f>
        <v>1</v>
      </c>
    </row>
    <row r="320" spans="2:17" x14ac:dyDescent="0.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c r="M320" s="7" t="str">
        <f>_xlfn.XLOOKUP(calls[[#This Row],[Customer ID]],customers[Customer ID],customers[City])</f>
        <v>Cleveland</v>
      </c>
      <c r="N320" s="3" t="str">
        <f>_xlfn.XLOOKUP(calls[[#This Row],[Customer ID]],customers[Customer ID],customers[Gedner])</f>
        <v>Female</v>
      </c>
      <c r="P320">
        <f>IF(calls[[#This Row],[Call number]]&lt;&gt;"",1,0)</f>
        <v>1</v>
      </c>
      <c r="Q320">
        <f>IF(calls[[#This Row],[Rating rounded]]=5,1,0)</f>
        <v>0</v>
      </c>
    </row>
    <row r="321" spans="2:17" x14ac:dyDescent="0.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c r="M321" s="7" t="str">
        <f>_xlfn.XLOOKUP(calls[[#This Row],[Customer ID]],customers[Customer ID],customers[City])</f>
        <v>Columbus</v>
      </c>
      <c r="N321" s="3" t="str">
        <f>_xlfn.XLOOKUP(calls[[#This Row],[Customer ID]],customers[Customer ID],customers[Gedner])</f>
        <v>Male</v>
      </c>
      <c r="P321">
        <f>IF(calls[[#This Row],[Call number]]&lt;&gt;"",1,0)</f>
        <v>1</v>
      </c>
      <c r="Q321">
        <f>IF(calls[[#This Row],[Rating rounded]]=5,1,0)</f>
        <v>0</v>
      </c>
    </row>
    <row r="322" spans="2:17" x14ac:dyDescent="0.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c r="M322" s="7" t="str">
        <f>_xlfn.XLOOKUP(calls[[#This Row],[Customer ID]],customers[Customer ID],customers[City])</f>
        <v>Columbus</v>
      </c>
      <c r="N322" s="3" t="str">
        <f>_xlfn.XLOOKUP(calls[[#This Row],[Customer ID]],customers[Customer ID],customers[Gedner])</f>
        <v>Male</v>
      </c>
      <c r="P322">
        <f>IF(calls[[#This Row],[Call number]]&lt;&gt;"",1,0)</f>
        <v>1</v>
      </c>
      <c r="Q322">
        <f>IF(calls[[#This Row],[Rating rounded]]=5,1,0)</f>
        <v>0</v>
      </c>
    </row>
    <row r="323" spans="2:17" x14ac:dyDescent="0.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c r="M323" s="7" t="str">
        <f>_xlfn.XLOOKUP(calls[[#This Row],[Customer ID]],customers[Customer ID],customers[City])</f>
        <v>Columbus</v>
      </c>
      <c r="N323" s="3" t="str">
        <f>_xlfn.XLOOKUP(calls[[#This Row],[Customer ID]],customers[Customer ID],customers[Gedner])</f>
        <v>Male</v>
      </c>
      <c r="P323">
        <f>IF(calls[[#This Row],[Call number]]&lt;&gt;"",1,0)</f>
        <v>1</v>
      </c>
      <c r="Q323">
        <f>IF(calls[[#This Row],[Rating rounded]]=5,1,0)</f>
        <v>0</v>
      </c>
    </row>
    <row r="324" spans="2:17" x14ac:dyDescent="0.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c r="M324" s="7" t="str">
        <f>_xlfn.XLOOKUP(calls[[#This Row],[Customer ID]],customers[Customer ID],customers[City])</f>
        <v>Columbus</v>
      </c>
      <c r="N324" s="3" t="str">
        <f>_xlfn.XLOOKUP(calls[[#This Row],[Customer ID]],customers[Customer ID],customers[Gedner])</f>
        <v>Female</v>
      </c>
      <c r="P324">
        <f>IF(calls[[#This Row],[Call number]]&lt;&gt;"",1,0)</f>
        <v>1</v>
      </c>
      <c r="Q324">
        <f>IF(calls[[#This Row],[Rating rounded]]=5,1,0)</f>
        <v>0</v>
      </c>
    </row>
    <row r="325" spans="2:17" x14ac:dyDescent="0.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c r="M325" s="7" t="str">
        <f>_xlfn.XLOOKUP(calls[[#This Row],[Customer ID]],customers[Customer ID],customers[City])</f>
        <v>Columbus</v>
      </c>
      <c r="N325" s="3" t="str">
        <f>_xlfn.XLOOKUP(calls[[#This Row],[Customer ID]],customers[Customer ID],customers[Gedner])</f>
        <v>Male</v>
      </c>
      <c r="P325">
        <f>IF(calls[[#This Row],[Call number]]&lt;&gt;"",1,0)</f>
        <v>1</v>
      </c>
      <c r="Q325">
        <f>IF(calls[[#This Row],[Rating rounded]]=5,1,0)</f>
        <v>1</v>
      </c>
    </row>
    <row r="326" spans="2:17" x14ac:dyDescent="0.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c r="M326" s="7" t="str">
        <f>_xlfn.XLOOKUP(calls[[#This Row],[Customer ID]],customers[Customer ID],customers[City])</f>
        <v>Columbus</v>
      </c>
      <c r="N326" s="3" t="str">
        <f>_xlfn.XLOOKUP(calls[[#This Row],[Customer ID]],customers[Customer ID],customers[Gedner])</f>
        <v>Male</v>
      </c>
      <c r="P326">
        <f>IF(calls[[#This Row],[Call number]]&lt;&gt;"",1,0)</f>
        <v>1</v>
      </c>
      <c r="Q326">
        <f>IF(calls[[#This Row],[Rating rounded]]=5,1,0)</f>
        <v>0</v>
      </c>
    </row>
    <row r="327" spans="2:17" x14ac:dyDescent="0.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c r="M327" s="7" t="str">
        <f>_xlfn.XLOOKUP(calls[[#This Row],[Customer ID]],customers[Customer ID],customers[City])</f>
        <v>Cleveland</v>
      </c>
      <c r="N327" s="3" t="str">
        <f>_xlfn.XLOOKUP(calls[[#This Row],[Customer ID]],customers[Customer ID],customers[Gedner])</f>
        <v>Female</v>
      </c>
      <c r="P327">
        <f>IF(calls[[#This Row],[Call number]]&lt;&gt;"",1,0)</f>
        <v>1</v>
      </c>
      <c r="Q327">
        <f>IF(calls[[#This Row],[Rating rounded]]=5,1,0)</f>
        <v>1</v>
      </c>
    </row>
    <row r="328" spans="2:17" x14ac:dyDescent="0.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c r="M328" s="7" t="str">
        <f>_xlfn.XLOOKUP(calls[[#This Row],[Customer ID]],customers[Customer ID],customers[City])</f>
        <v>Cleveland</v>
      </c>
      <c r="N328" s="3" t="str">
        <f>_xlfn.XLOOKUP(calls[[#This Row],[Customer ID]],customers[Customer ID],customers[Gedner])</f>
        <v>Female</v>
      </c>
      <c r="P328">
        <f>IF(calls[[#This Row],[Call number]]&lt;&gt;"",1,0)</f>
        <v>1</v>
      </c>
      <c r="Q328">
        <f>IF(calls[[#This Row],[Rating rounded]]=5,1,0)</f>
        <v>0</v>
      </c>
    </row>
    <row r="329" spans="2:17" x14ac:dyDescent="0.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c r="M329" s="7" t="str">
        <f>_xlfn.XLOOKUP(calls[[#This Row],[Customer ID]],customers[Customer ID],customers[City])</f>
        <v>Cincinnati</v>
      </c>
      <c r="N329" s="3" t="str">
        <f>_xlfn.XLOOKUP(calls[[#This Row],[Customer ID]],customers[Customer ID],customers[Gedner])</f>
        <v>Male</v>
      </c>
      <c r="P329">
        <f>IF(calls[[#This Row],[Call number]]&lt;&gt;"",1,0)</f>
        <v>1</v>
      </c>
      <c r="Q329">
        <f>IF(calls[[#This Row],[Rating rounded]]=5,1,0)</f>
        <v>0</v>
      </c>
    </row>
    <row r="330" spans="2:17" x14ac:dyDescent="0.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c r="M330" s="7" t="str">
        <f>_xlfn.XLOOKUP(calls[[#This Row],[Customer ID]],customers[Customer ID],customers[City])</f>
        <v>Cleveland</v>
      </c>
      <c r="N330" s="3" t="str">
        <f>_xlfn.XLOOKUP(calls[[#This Row],[Customer ID]],customers[Customer ID],customers[Gedner])</f>
        <v>Female</v>
      </c>
      <c r="P330">
        <f>IF(calls[[#This Row],[Call number]]&lt;&gt;"",1,0)</f>
        <v>1</v>
      </c>
      <c r="Q330">
        <f>IF(calls[[#This Row],[Rating rounded]]=5,1,0)</f>
        <v>0</v>
      </c>
    </row>
    <row r="331" spans="2:17" x14ac:dyDescent="0.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c r="M331" s="7" t="str">
        <f>_xlfn.XLOOKUP(calls[[#This Row],[Customer ID]],customers[Customer ID],customers[City])</f>
        <v>Columbus</v>
      </c>
      <c r="N331" s="3" t="str">
        <f>_xlfn.XLOOKUP(calls[[#This Row],[Customer ID]],customers[Customer ID],customers[Gedner])</f>
        <v>Female</v>
      </c>
      <c r="P331">
        <f>IF(calls[[#This Row],[Call number]]&lt;&gt;"",1,0)</f>
        <v>1</v>
      </c>
      <c r="Q331">
        <f>IF(calls[[#This Row],[Rating rounded]]=5,1,0)</f>
        <v>0</v>
      </c>
    </row>
    <row r="332" spans="2:17" x14ac:dyDescent="0.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c r="M332" s="7" t="str">
        <f>_xlfn.XLOOKUP(calls[[#This Row],[Customer ID]],customers[Customer ID],customers[City])</f>
        <v>Cleveland</v>
      </c>
      <c r="N332" s="3" t="str">
        <f>_xlfn.XLOOKUP(calls[[#This Row],[Customer ID]],customers[Customer ID],customers[Gedner])</f>
        <v>Female</v>
      </c>
      <c r="P332">
        <f>IF(calls[[#This Row],[Call number]]&lt;&gt;"",1,0)</f>
        <v>1</v>
      </c>
      <c r="Q332">
        <f>IF(calls[[#This Row],[Rating rounded]]=5,1,0)</f>
        <v>0</v>
      </c>
    </row>
    <row r="333" spans="2:17" x14ac:dyDescent="0.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c r="M333" s="7" t="str">
        <f>_xlfn.XLOOKUP(calls[[#This Row],[Customer ID]],customers[Customer ID],customers[City])</f>
        <v>Columbus</v>
      </c>
      <c r="N333" s="3" t="str">
        <f>_xlfn.XLOOKUP(calls[[#This Row],[Customer ID]],customers[Customer ID],customers[Gedner])</f>
        <v>Male</v>
      </c>
      <c r="P333">
        <f>IF(calls[[#This Row],[Call number]]&lt;&gt;"",1,0)</f>
        <v>1</v>
      </c>
      <c r="Q333">
        <f>IF(calls[[#This Row],[Rating rounded]]=5,1,0)</f>
        <v>0</v>
      </c>
    </row>
    <row r="334" spans="2:17" x14ac:dyDescent="0.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c r="M334" s="7" t="str">
        <f>_xlfn.XLOOKUP(calls[[#This Row],[Customer ID]],customers[Customer ID],customers[City])</f>
        <v>Cincinnati</v>
      </c>
      <c r="N334" s="3" t="str">
        <f>_xlfn.XLOOKUP(calls[[#This Row],[Customer ID]],customers[Customer ID],customers[Gedner])</f>
        <v>Female</v>
      </c>
      <c r="P334">
        <f>IF(calls[[#This Row],[Call number]]&lt;&gt;"",1,0)</f>
        <v>1</v>
      </c>
      <c r="Q334">
        <f>IF(calls[[#This Row],[Rating rounded]]=5,1,0)</f>
        <v>0</v>
      </c>
    </row>
    <row r="335" spans="2:17" x14ac:dyDescent="0.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c r="M335" s="7" t="str">
        <f>_xlfn.XLOOKUP(calls[[#This Row],[Customer ID]],customers[Customer ID],customers[City])</f>
        <v>Cincinnati</v>
      </c>
      <c r="N335" s="3" t="str">
        <f>_xlfn.XLOOKUP(calls[[#This Row],[Customer ID]],customers[Customer ID],customers[Gedner])</f>
        <v>Female</v>
      </c>
      <c r="P335">
        <f>IF(calls[[#This Row],[Call number]]&lt;&gt;"",1,0)</f>
        <v>1</v>
      </c>
      <c r="Q335">
        <f>IF(calls[[#This Row],[Rating rounded]]=5,1,0)</f>
        <v>1</v>
      </c>
    </row>
    <row r="336" spans="2:17" x14ac:dyDescent="0.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c r="M336" s="7" t="str">
        <f>_xlfn.XLOOKUP(calls[[#This Row],[Customer ID]],customers[Customer ID],customers[City])</f>
        <v>Columbus</v>
      </c>
      <c r="N336" s="3" t="str">
        <f>_xlfn.XLOOKUP(calls[[#This Row],[Customer ID]],customers[Customer ID],customers[Gedner])</f>
        <v>Male</v>
      </c>
      <c r="P336">
        <f>IF(calls[[#This Row],[Call number]]&lt;&gt;"",1,0)</f>
        <v>1</v>
      </c>
      <c r="Q336">
        <f>IF(calls[[#This Row],[Rating rounded]]=5,1,0)</f>
        <v>0</v>
      </c>
    </row>
    <row r="337" spans="2:17" x14ac:dyDescent="0.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c r="M337" s="7" t="str">
        <f>_xlfn.XLOOKUP(calls[[#This Row],[Customer ID]],customers[Customer ID],customers[City])</f>
        <v>Columbus</v>
      </c>
      <c r="N337" s="3" t="str">
        <f>_xlfn.XLOOKUP(calls[[#This Row],[Customer ID]],customers[Customer ID],customers[Gedner])</f>
        <v>Male</v>
      </c>
      <c r="P337">
        <f>IF(calls[[#This Row],[Call number]]&lt;&gt;"",1,0)</f>
        <v>1</v>
      </c>
      <c r="Q337">
        <f>IF(calls[[#This Row],[Rating rounded]]=5,1,0)</f>
        <v>1</v>
      </c>
    </row>
    <row r="338" spans="2:17" x14ac:dyDescent="0.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c r="M338" s="7" t="str">
        <f>_xlfn.XLOOKUP(calls[[#This Row],[Customer ID]],customers[Customer ID],customers[City])</f>
        <v>Columbus</v>
      </c>
      <c r="N338" s="3" t="str">
        <f>_xlfn.XLOOKUP(calls[[#This Row],[Customer ID]],customers[Customer ID],customers[Gedner])</f>
        <v>Female</v>
      </c>
      <c r="P338">
        <f>IF(calls[[#This Row],[Call number]]&lt;&gt;"",1,0)</f>
        <v>1</v>
      </c>
      <c r="Q338">
        <f>IF(calls[[#This Row],[Rating rounded]]=5,1,0)</f>
        <v>0</v>
      </c>
    </row>
    <row r="339" spans="2:17" x14ac:dyDescent="0.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c r="M339" s="7" t="str">
        <f>_xlfn.XLOOKUP(calls[[#This Row],[Customer ID]],customers[Customer ID],customers[City])</f>
        <v>Columbus</v>
      </c>
      <c r="N339" s="3" t="str">
        <f>_xlfn.XLOOKUP(calls[[#This Row],[Customer ID]],customers[Customer ID],customers[Gedner])</f>
        <v>Male</v>
      </c>
      <c r="P339">
        <f>IF(calls[[#This Row],[Call number]]&lt;&gt;"",1,0)</f>
        <v>1</v>
      </c>
      <c r="Q339">
        <f>IF(calls[[#This Row],[Rating rounded]]=5,1,0)</f>
        <v>1</v>
      </c>
    </row>
    <row r="340" spans="2:17" x14ac:dyDescent="0.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c r="M340" s="7" t="str">
        <f>_xlfn.XLOOKUP(calls[[#This Row],[Customer ID]],customers[Customer ID],customers[City])</f>
        <v>Cleveland</v>
      </c>
      <c r="N340" s="3" t="str">
        <f>_xlfn.XLOOKUP(calls[[#This Row],[Customer ID]],customers[Customer ID],customers[Gedner])</f>
        <v>Female</v>
      </c>
      <c r="P340">
        <f>IF(calls[[#This Row],[Call number]]&lt;&gt;"",1,0)</f>
        <v>1</v>
      </c>
      <c r="Q340">
        <f>IF(calls[[#This Row],[Rating rounded]]=5,1,0)</f>
        <v>0</v>
      </c>
    </row>
    <row r="341" spans="2:17" x14ac:dyDescent="0.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c r="M341" s="7" t="str">
        <f>_xlfn.XLOOKUP(calls[[#This Row],[Customer ID]],customers[Customer ID],customers[City])</f>
        <v>Cincinnati</v>
      </c>
      <c r="N341" s="3" t="str">
        <f>_xlfn.XLOOKUP(calls[[#This Row],[Customer ID]],customers[Customer ID],customers[Gedner])</f>
        <v>Male</v>
      </c>
      <c r="P341">
        <f>IF(calls[[#This Row],[Call number]]&lt;&gt;"",1,0)</f>
        <v>1</v>
      </c>
      <c r="Q341">
        <f>IF(calls[[#This Row],[Rating rounded]]=5,1,0)</f>
        <v>1</v>
      </c>
    </row>
    <row r="342" spans="2:17" x14ac:dyDescent="0.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c r="M342" s="7" t="str">
        <f>_xlfn.XLOOKUP(calls[[#This Row],[Customer ID]],customers[Customer ID],customers[City])</f>
        <v>Columbus</v>
      </c>
      <c r="N342" s="3" t="str">
        <f>_xlfn.XLOOKUP(calls[[#This Row],[Customer ID]],customers[Customer ID],customers[Gedner])</f>
        <v>Male</v>
      </c>
      <c r="P342">
        <f>IF(calls[[#This Row],[Call number]]&lt;&gt;"",1,0)</f>
        <v>1</v>
      </c>
      <c r="Q342">
        <f>IF(calls[[#This Row],[Rating rounded]]=5,1,0)</f>
        <v>0</v>
      </c>
    </row>
    <row r="343" spans="2:17" x14ac:dyDescent="0.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c r="M343" s="7" t="str">
        <f>_xlfn.XLOOKUP(calls[[#This Row],[Customer ID]],customers[Customer ID],customers[City])</f>
        <v>Cleveland</v>
      </c>
      <c r="N343" s="3" t="str">
        <f>_xlfn.XLOOKUP(calls[[#This Row],[Customer ID]],customers[Customer ID],customers[Gedner])</f>
        <v>Male</v>
      </c>
      <c r="P343">
        <f>IF(calls[[#This Row],[Call number]]&lt;&gt;"",1,0)</f>
        <v>1</v>
      </c>
      <c r="Q343">
        <f>IF(calls[[#This Row],[Rating rounded]]=5,1,0)</f>
        <v>0</v>
      </c>
    </row>
    <row r="344" spans="2:17" x14ac:dyDescent="0.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c r="M344" s="7" t="str">
        <f>_xlfn.XLOOKUP(calls[[#This Row],[Customer ID]],customers[Customer ID],customers[City])</f>
        <v>Columbus</v>
      </c>
      <c r="N344" s="3" t="str">
        <f>_xlfn.XLOOKUP(calls[[#This Row],[Customer ID]],customers[Customer ID],customers[Gedner])</f>
        <v>Male</v>
      </c>
      <c r="P344">
        <f>IF(calls[[#This Row],[Call number]]&lt;&gt;"",1,0)</f>
        <v>1</v>
      </c>
      <c r="Q344">
        <f>IF(calls[[#This Row],[Rating rounded]]=5,1,0)</f>
        <v>0</v>
      </c>
    </row>
    <row r="345" spans="2:17" x14ac:dyDescent="0.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c r="M345" s="7" t="str">
        <f>_xlfn.XLOOKUP(calls[[#This Row],[Customer ID]],customers[Customer ID],customers[City])</f>
        <v>Cleveland</v>
      </c>
      <c r="N345" s="3" t="str">
        <f>_xlfn.XLOOKUP(calls[[#This Row],[Customer ID]],customers[Customer ID],customers[Gedner])</f>
        <v>Female</v>
      </c>
      <c r="P345">
        <f>IF(calls[[#This Row],[Call number]]&lt;&gt;"",1,0)</f>
        <v>1</v>
      </c>
      <c r="Q345">
        <f>IF(calls[[#This Row],[Rating rounded]]=5,1,0)</f>
        <v>0</v>
      </c>
    </row>
    <row r="346" spans="2:17" x14ac:dyDescent="0.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c r="M346" s="7" t="str">
        <f>_xlfn.XLOOKUP(calls[[#This Row],[Customer ID]],customers[Customer ID],customers[City])</f>
        <v>Cleveland</v>
      </c>
      <c r="N346" s="3" t="str">
        <f>_xlfn.XLOOKUP(calls[[#This Row],[Customer ID]],customers[Customer ID],customers[Gedner])</f>
        <v>Male</v>
      </c>
      <c r="P346">
        <f>IF(calls[[#This Row],[Call number]]&lt;&gt;"",1,0)</f>
        <v>1</v>
      </c>
      <c r="Q346">
        <f>IF(calls[[#This Row],[Rating rounded]]=5,1,0)</f>
        <v>1</v>
      </c>
    </row>
    <row r="347" spans="2:17" x14ac:dyDescent="0.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c r="M347" s="7" t="str">
        <f>_xlfn.XLOOKUP(calls[[#This Row],[Customer ID]],customers[Customer ID],customers[City])</f>
        <v>Cleveland</v>
      </c>
      <c r="N347" s="3" t="str">
        <f>_xlfn.XLOOKUP(calls[[#This Row],[Customer ID]],customers[Customer ID],customers[Gedner])</f>
        <v>Female</v>
      </c>
      <c r="P347">
        <f>IF(calls[[#This Row],[Call number]]&lt;&gt;"",1,0)</f>
        <v>1</v>
      </c>
      <c r="Q347">
        <f>IF(calls[[#This Row],[Rating rounded]]=5,1,0)</f>
        <v>0</v>
      </c>
    </row>
    <row r="348" spans="2:17" x14ac:dyDescent="0.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c r="M348" s="7" t="str">
        <f>_xlfn.XLOOKUP(calls[[#This Row],[Customer ID]],customers[Customer ID],customers[City])</f>
        <v>Cleveland</v>
      </c>
      <c r="N348" s="3" t="str">
        <f>_xlfn.XLOOKUP(calls[[#This Row],[Customer ID]],customers[Customer ID],customers[Gedner])</f>
        <v>Female</v>
      </c>
      <c r="P348">
        <f>IF(calls[[#This Row],[Call number]]&lt;&gt;"",1,0)</f>
        <v>1</v>
      </c>
      <c r="Q348">
        <f>IF(calls[[#This Row],[Rating rounded]]=5,1,0)</f>
        <v>0</v>
      </c>
    </row>
    <row r="349" spans="2:17" x14ac:dyDescent="0.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c r="M349" s="7" t="str">
        <f>_xlfn.XLOOKUP(calls[[#This Row],[Customer ID]],customers[Customer ID],customers[City])</f>
        <v>Cincinnati</v>
      </c>
      <c r="N349" s="3" t="str">
        <f>_xlfn.XLOOKUP(calls[[#This Row],[Customer ID]],customers[Customer ID],customers[Gedner])</f>
        <v>Female</v>
      </c>
      <c r="P349">
        <f>IF(calls[[#This Row],[Call number]]&lt;&gt;"",1,0)</f>
        <v>1</v>
      </c>
      <c r="Q349">
        <f>IF(calls[[#This Row],[Rating rounded]]=5,1,0)</f>
        <v>1</v>
      </c>
    </row>
    <row r="350" spans="2:17" x14ac:dyDescent="0.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c r="M350" s="7" t="str">
        <f>_xlfn.XLOOKUP(calls[[#This Row],[Customer ID]],customers[Customer ID],customers[City])</f>
        <v>Cleveland</v>
      </c>
      <c r="N350" s="3" t="str">
        <f>_xlfn.XLOOKUP(calls[[#This Row],[Customer ID]],customers[Customer ID],customers[Gedner])</f>
        <v>Female</v>
      </c>
      <c r="P350">
        <f>IF(calls[[#This Row],[Call number]]&lt;&gt;"",1,0)</f>
        <v>1</v>
      </c>
      <c r="Q350">
        <f>IF(calls[[#This Row],[Rating rounded]]=5,1,0)</f>
        <v>0</v>
      </c>
    </row>
    <row r="351" spans="2:17" x14ac:dyDescent="0.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c r="M351" s="7" t="str">
        <f>_xlfn.XLOOKUP(calls[[#This Row],[Customer ID]],customers[Customer ID],customers[City])</f>
        <v>Cincinnati</v>
      </c>
      <c r="N351" s="3" t="str">
        <f>_xlfn.XLOOKUP(calls[[#This Row],[Customer ID]],customers[Customer ID],customers[Gedner])</f>
        <v>Female</v>
      </c>
      <c r="P351">
        <f>IF(calls[[#This Row],[Call number]]&lt;&gt;"",1,0)</f>
        <v>1</v>
      </c>
      <c r="Q351">
        <f>IF(calls[[#This Row],[Rating rounded]]=5,1,0)</f>
        <v>1</v>
      </c>
    </row>
    <row r="352" spans="2:17" x14ac:dyDescent="0.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c r="M352" s="7" t="str">
        <f>_xlfn.XLOOKUP(calls[[#This Row],[Customer ID]],customers[Customer ID],customers[City])</f>
        <v>Cincinnati</v>
      </c>
      <c r="N352" s="3" t="str">
        <f>_xlfn.XLOOKUP(calls[[#This Row],[Customer ID]],customers[Customer ID],customers[Gedner])</f>
        <v>Female</v>
      </c>
      <c r="P352">
        <f>IF(calls[[#This Row],[Call number]]&lt;&gt;"",1,0)</f>
        <v>1</v>
      </c>
      <c r="Q352">
        <f>IF(calls[[#This Row],[Rating rounded]]=5,1,0)</f>
        <v>1</v>
      </c>
    </row>
    <row r="353" spans="2:17" x14ac:dyDescent="0.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c r="M353" s="7" t="str">
        <f>_xlfn.XLOOKUP(calls[[#This Row],[Customer ID]],customers[Customer ID],customers[City])</f>
        <v>Columbus</v>
      </c>
      <c r="N353" s="3" t="str">
        <f>_xlfn.XLOOKUP(calls[[#This Row],[Customer ID]],customers[Customer ID],customers[Gedner])</f>
        <v>Female</v>
      </c>
      <c r="P353">
        <f>IF(calls[[#This Row],[Call number]]&lt;&gt;"",1,0)</f>
        <v>1</v>
      </c>
      <c r="Q353">
        <f>IF(calls[[#This Row],[Rating rounded]]=5,1,0)</f>
        <v>0</v>
      </c>
    </row>
    <row r="354" spans="2:17" x14ac:dyDescent="0.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c r="M354" s="7" t="str">
        <f>_xlfn.XLOOKUP(calls[[#This Row],[Customer ID]],customers[Customer ID],customers[City])</f>
        <v>Cleveland</v>
      </c>
      <c r="N354" s="3" t="str">
        <f>_xlfn.XLOOKUP(calls[[#This Row],[Customer ID]],customers[Customer ID],customers[Gedner])</f>
        <v>Female</v>
      </c>
      <c r="P354">
        <f>IF(calls[[#This Row],[Call number]]&lt;&gt;"",1,0)</f>
        <v>1</v>
      </c>
      <c r="Q354">
        <f>IF(calls[[#This Row],[Rating rounded]]=5,1,0)</f>
        <v>0</v>
      </c>
    </row>
    <row r="355" spans="2:17" x14ac:dyDescent="0.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c r="M355" s="7" t="str">
        <f>_xlfn.XLOOKUP(calls[[#This Row],[Customer ID]],customers[Customer ID],customers[City])</f>
        <v>Cincinnati</v>
      </c>
      <c r="N355" s="3" t="str">
        <f>_xlfn.XLOOKUP(calls[[#This Row],[Customer ID]],customers[Customer ID],customers[Gedner])</f>
        <v>Female</v>
      </c>
      <c r="P355">
        <f>IF(calls[[#This Row],[Call number]]&lt;&gt;"",1,0)</f>
        <v>1</v>
      </c>
      <c r="Q355">
        <f>IF(calls[[#This Row],[Rating rounded]]=5,1,0)</f>
        <v>0</v>
      </c>
    </row>
    <row r="356" spans="2:17" x14ac:dyDescent="0.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c r="M356" s="7" t="str">
        <f>_xlfn.XLOOKUP(calls[[#This Row],[Customer ID]],customers[Customer ID],customers[City])</f>
        <v>Cleveland</v>
      </c>
      <c r="N356" s="3" t="str">
        <f>_xlfn.XLOOKUP(calls[[#This Row],[Customer ID]],customers[Customer ID],customers[Gedner])</f>
        <v>Female</v>
      </c>
      <c r="P356">
        <f>IF(calls[[#This Row],[Call number]]&lt;&gt;"",1,0)</f>
        <v>1</v>
      </c>
      <c r="Q356">
        <f>IF(calls[[#This Row],[Rating rounded]]=5,1,0)</f>
        <v>0</v>
      </c>
    </row>
    <row r="357" spans="2:17" x14ac:dyDescent="0.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c r="M357" s="7" t="str">
        <f>_xlfn.XLOOKUP(calls[[#This Row],[Customer ID]],customers[Customer ID],customers[City])</f>
        <v>Columbus</v>
      </c>
      <c r="N357" s="3" t="str">
        <f>_xlfn.XLOOKUP(calls[[#This Row],[Customer ID]],customers[Customer ID],customers[Gedner])</f>
        <v>Male</v>
      </c>
      <c r="P357">
        <f>IF(calls[[#This Row],[Call number]]&lt;&gt;"",1,0)</f>
        <v>1</v>
      </c>
      <c r="Q357">
        <f>IF(calls[[#This Row],[Rating rounded]]=5,1,0)</f>
        <v>0</v>
      </c>
    </row>
    <row r="358" spans="2:17" x14ac:dyDescent="0.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c r="M358" s="7" t="str">
        <f>_xlfn.XLOOKUP(calls[[#This Row],[Customer ID]],customers[Customer ID],customers[City])</f>
        <v>Columbus</v>
      </c>
      <c r="N358" s="3" t="str">
        <f>_xlfn.XLOOKUP(calls[[#This Row],[Customer ID]],customers[Customer ID],customers[Gedner])</f>
        <v>Male</v>
      </c>
      <c r="P358">
        <f>IF(calls[[#This Row],[Call number]]&lt;&gt;"",1,0)</f>
        <v>1</v>
      </c>
      <c r="Q358">
        <f>IF(calls[[#This Row],[Rating rounded]]=5,1,0)</f>
        <v>1</v>
      </c>
    </row>
    <row r="359" spans="2:17" x14ac:dyDescent="0.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c r="M359" s="7" t="str">
        <f>_xlfn.XLOOKUP(calls[[#This Row],[Customer ID]],customers[Customer ID],customers[City])</f>
        <v>Cleveland</v>
      </c>
      <c r="N359" s="3" t="str">
        <f>_xlfn.XLOOKUP(calls[[#This Row],[Customer ID]],customers[Customer ID],customers[Gedner])</f>
        <v>Female</v>
      </c>
      <c r="P359">
        <f>IF(calls[[#This Row],[Call number]]&lt;&gt;"",1,0)</f>
        <v>1</v>
      </c>
      <c r="Q359">
        <f>IF(calls[[#This Row],[Rating rounded]]=5,1,0)</f>
        <v>1</v>
      </c>
    </row>
    <row r="360" spans="2:17" x14ac:dyDescent="0.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c r="M360" s="7" t="str">
        <f>_xlfn.XLOOKUP(calls[[#This Row],[Customer ID]],customers[Customer ID],customers[City])</f>
        <v>Cleveland</v>
      </c>
      <c r="N360" s="3" t="str">
        <f>_xlfn.XLOOKUP(calls[[#This Row],[Customer ID]],customers[Customer ID],customers[Gedner])</f>
        <v>Female</v>
      </c>
      <c r="P360">
        <f>IF(calls[[#This Row],[Call number]]&lt;&gt;"",1,0)</f>
        <v>1</v>
      </c>
      <c r="Q360">
        <f>IF(calls[[#This Row],[Rating rounded]]=5,1,0)</f>
        <v>0</v>
      </c>
    </row>
    <row r="361" spans="2:17" x14ac:dyDescent="0.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c r="M361" s="7" t="str">
        <f>_xlfn.XLOOKUP(calls[[#This Row],[Customer ID]],customers[Customer ID],customers[City])</f>
        <v>Cleveland</v>
      </c>
      <c r="N361" s="3" t="str">
        <f>_xlfn.XLOOKUP(calls[[#This Row],[Customer ID]],customers[Customer ID],customers[Gedner])</f>
        <v>Female</v>
      </c>
      <c r="P361">
        <f>IF(calls[[#This Row],[Call number]]&lt;&gt;"",1,0)</f>
        <v>1</v>
      </c>
      <c r="Q361">
        <f>IF(calls[[#This Row],[Rating rounded]]=5,1,0)</f>
        <v>0</v>
      </c>
    </row>
    <row r="362" spans="2:17" x14ac:dyDescent="0.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c r="M362" s="7" t="str">
        <f>_xlfn.XLOOKUP(calls[[#This Row],[Customer ID]],customers[Customer ID],customers[City])</f>
        <v>Columbus</v>
      </c>
      <c r="N362" s="3" t="str">
        <f>_xlfn.XLOOKUP(calls[[#This Row],[Customer ID]],customers[Customer ID],customers[Gedner])</f>
        <v>Male</v>
      </c>
      <c r="P362">
        <f>IF(calls[[#This Row],[Call number]]&lt;&gt;"",1,0)</f>
        <v>1</v>
      </c>
      <c r="Q362">
        <f>IF(calls[[#This Row],[Rating rounded]]=5,1,0)</f>
        <v>0</v>
      </c>
    </row>
    <row r="363" spans="2:17" x14ac:dyDescent="0.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c r="M363" s="7" t="str">
        <f>_xlfn.XLOOKUP(calls[[#This Row],[Customer ID]],customers[Customer ID],customers[City])</f>
        <v>Cleveland</v>
      </c>
      <c r="N363" s="3" t="str">
        <f>_xlfn.XLOOKUP(calls[[#This Row],[Customer ID]],customers[Customer ID],customers[Gedner])</f>
        <v>Female</v>
      </c>
      <c r="P363">
        <f>IF(calls[[#This Row],[Call number]]&lt;&gt;"",1,0)</f>
        <v>1</v>
      </c>
      <c r="Q363">
        <f>IF(calls[[#This Row],[Rating rounded]]=5,1,0)</f>
        <v>0</v>
      </c>
    </row>
    <row r="364" spans="2:17" x14ac:dyDescent="0.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c r="M364" s="7" t="str">
        <f>_xlfn.XLOOKUP(calls[[#This Row],[Customer ID]],customers[Customer ID],customers[City])</f>
        <v>Columbus</v>
      </c>
      <c r="N364" s="3" t="str">
        <f>_xlfn.XLOOKUP(calls[[#This Row],[Customer ID]],customers[Customer ID],customers[Gedner])</f>
        <v>Female</v>
      </c>
      <c r="P364">
        <f>IF(calls[[#This Row],[Call number]]&lt;&gt;"",1,0)</f>
        <v>1</v>
      </c>
      <c r="Q364">
        <f>IF(calls[[#This Row],[Rating rounded]]=5,1,0)</f>
        <v>0</v>
      </c>
    </row>
    <row r="365" spans="2:17" x14ac:dyDescent="0.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c r="M365" s="7" t="str">
        <f>_xlfn.XLOOKUP(calls[[#This Row],[Customer ID]],customers[Customer ID],customers[City])</f>
        <v>Columbus</v>
      </c>
      <c r="N365" s="3" t="str">
        <f>_xlfn.XLOOKUP(calls[[#This Row],[Customer ID]],customers[Customer ID],customers[Gedner])</f>
        <v>Male</v>
      </c>
      <c r="P365">
        <f>IF(calls[[#This Row],[Call number]]&lt;&gt;"",1,0)</f>
        <v>1</v>
      </c>
      <c r="Q365">
        <f>IF(calls[[#This Row],[Rating rounded]]=5,1,0)</f>
        <v>0</v>
      </c>
    </row>
    <row r="366" spans="2:17" x14ac:dyDescent="0.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c r="M366" s="7" t="str">
        <f>_xlfn.XLOOKUP(calls[[#This Row],[Customer ID]],customers[Customer ID],customers[City])</f>
        <v>Columbus</v>
      </c>
      <c r="N366" s="3" t="str">
        <f>_xlfn.XLOOKUP(calls[[#This Row],[Customer ID]],customers[Customer ID],customers[Gedner])</f>
        <v>Male</v>
      </c>
      <c r="P366">
        <f>IF(calls[[#This Row],[Call number]]&lt;&gt;"",1,0)</f>
        <v>1</v>
      </c>
      <c r="Q366">
        <f>IF(calls[[#This Row],[Rating rounded]]=5,1,0)</f>
        <v>1</v>
      </c>
    </row>
    <row r="367" spans="2:17" x14ac:dyDescent="0.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c r="M367" s="7" t="str">
        <f>_xlfn.XLOOKUP(calls[[#This Row],[Customer ID]],customers[Customer ID],customers[City])</f>
        <v>Columbus</v>
      </c>
      <c r="N367" s="3" t="str">
        <f>_xlfn.XLOOKUP(calls[[#This Row],[Customer ID]],customers[Customer ID],customers[Gedner])</f>
        <v>Male</v>
      </c>
      <c r="P367">
        <f>IF(calls[[#This Row],[Call number]]&lt;&gt;"",1,0)</f>
        <v>1</v>
      </c>
      <c r="Q367">
        <f>IF(calls[[#This Row],[Rating rounded]]=5,1,0)</f>
        <v>0</v>
      </c>
    </row>
    <row r="368" spans="2:17" x14ac:dyDescent="0.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c r="M368" s="7" t="str">
        <f>_xlfn.XLOOKUP(calls[[#This Row],[Customer ID]],customers[Customer ID],customers[City])</f>
        <v>Cleveland</v>
      </c>
      <c r="N368" s="3" t="str">
        <f>_xlfn.XLOOKUP(calls[[#This Row],[Customer ID]],customers[Customer ID],customers[Gedner])</f>
        <v>Female</v>
      </c>
      <c r="P368">
        <f>IF(calls[[#This Row],[Call number]]&lt;&gt;"",1,0)</f>
        <v>1</v>
      </c>
      <c r="Q368">
        <f>IF(calls[[#This Row],[Rating rounded]]=5,1,0)</f>
        <v>0</v>
      </c>
    </row>
    <row r="369" spans="2:17" x14ac:dyDescent="0.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c r="M369" s="7" t="str">
        <f>_xlfn.XLOOKUP(calls[[#This Row],[Customer ID]],customers[Customer ID],customers[City])</f>
        <v>Columbus</v>
      </c>
      <c r="N369" s="3" t="str">
        <f>_xlfn.XLOOKUP(calls[[#This Row],[Customer ID]],customers[Customer ID],customers[Gedner])</f>
        <v>Male</v>
      </c>
      <c r="P369">
        <f>IF(calls[[#This Row],[Call number]]&lt;&gt;"",1,0)</f>
        <v>1</v>
      </c>
      <c r="Q369">
        <f>IF(calls[[#This Row],[Rating rounded]]=5,1,0)</f>
        <v>0</v>
      </c>
    </row>
    <row r="370" spans="2:17" x14ac:dyDescent="0.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c r="M370" s="7" t="str">
        <f>_xlfn.XLOOKUP(calls[[#This Row],[Customer ID]],customers[Customer ID],customers[City])</f>
        <v>Cleveland</v>
      </c>
      <c r="N370" s="3" t="str">
        <f>_xlfn.XLOOKUP(calls[[#This Row],[Customer ID]],customers[Customer ID],customers[Gedner])</f>
        <v>Male</v>
      </c>
      <c r="P370">
        <f>IF(calls[[#This Row],[Call number]]&lt;&gt;"",1,0)</f>
        <v>1</v>
      </c>
      <c r="Q370">
        <f>IF(calls[[#This Row],[Rating rounded]]=5,1,0)</f>
        <v>0</v>
      </c>
    </row>
    <row r="371" spans="2:17" x14ac:dyDescent="0.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c r="M371" s="7" t="str">
        <f>_xlfn.XLOOKUP(calls[[#This Row],[Customer ID]],customers[Customer ID],customers[City])</f>
        <v>Cincinnati</v>
      </c>
      <c r="N371" s="3" t="str">
        <f>_xlfn.XLOOKUP(calls[[#This Row],[Customer ID]],customers[Customer ID],customers[Gedner])</f>
        <v>Male</v>
      </c>
      <c r="P371">
        <f>IF(calls[[#This Row],[Call number]]&lt;&gt;"",1,0)</f>
        <v>1</v>
      </c>
      <c r="Q371">
        <f>IF(calls[[#This Row],[Rating rounded]]=5,1,0)</f>
        <v>1</v>
      </c>
    </row>
    <row r="372" spans="2:17" x14ac:dyDescent="0.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c r="M372" s="7" t="str">
        <f>_xlfn.XLOOKUP(calls[[#This Row],[Customer ID]],customers[Customer ID],customers[City])</f>
        <v>Cincinnati</v>
      </c>
      <c r="N372" s="3" t="str">
        <f>_xlfn.XLOOKUP(calls[[#This Row],[Customer ID]],customers[Customer ID],customers[Gedner])</f>
        <v>Female</v>
      </c>
      <c r="P372">
        <f>IF(calls[[#This Row],[Call number]]&lt;&gt;"",1,0)</f>
        <v>1</v>
      </c>
      <c r="Q372">
        <f>IF(calls[[#This Row],[Rating rounded]]=5,1,0)</f>
        <v>0</v>
      </c>
    </row>
    <row r="373" spans="2:17" x14ac:dyDescent="0.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c r="M373" s="7" t="str">
        <f>_xlfn.XLOOKUP(calls[[#This Row],[Customer ID]],customers[Customer ID],customers[City])</f>
        <v>Cincinnati</v>
      </c>
      <c r="N373" s="3" t="str">
        <f>_xlfn.XLOOKUP(calls[[#This Row],[Customer ID]],customers[Customer ID],customers[Gedner])</f>
        <v>Male</v>
      </c>
      <c r="P373">
        <f>IF(calls[[#This Row],[Call number]]&lt;&gt;"",1,0)</f>
        <v>1</v>
      </c>
      <c r="Q373">
        <f>IF(calls[[#This Row],[Rating rounded]]=5,1,0)</f>
        <v>1</v>
      </c>
    </row>
    <row r="374" spans="2:17" x14ac:dyDescent="0.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c r="M374" s="7" t="str">
        <f>_xlfn.XLOOKUP(calls[[#This Row],[Customer ID]],customers[Customer ID],customers[City])</f>
        <v>Cleveland</v>
      </c>
      <c r="N374" s="3" t="str">
        <f>_xlfn.XLOOKUP(calls[[#This Row],[Customer ID]],customers[Customer ID],customers[Gedner])</f>
        <v>Female</v>
      </c>
      <c r="P374">
        <f>IF(calls[[#This Row],[Call number]]&lt;&gt;"",1,0)</f>
        <v>1</v>
      </c>
      <c r="Q374">
        <f>IF(calls[[#This Row],[Rating rounded]]=5,1,0)</f>
        <v>0</v>
      </c>
    </row>
    <row r="375" spans="2:17" x14ac:dyDescent="0.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c r="M375" s="7" t="str">
        <f>_xlfn.XLOOKUP(calls[[#This Row],[Customer ID]],customers[Customer ID],customers[City])</f>
        <v>Cleveland</v>
      </c>
      <c r="N375" s="3" t="str">
        <f>_xlfn.XLOOKUP(calls[[#This Row],[Customer ID]],customers[Customer ID],customers[Gedner])</f>
        <v>Female</v>
      </c>
      <c r="P375">
        <f>IF(calls[[#This Row],[Call number]]&lt;&gt;"",1,0)</f>
        <v>1</v>
      </c>
      <c r="Q375">
        <f>IF(calls[[#This Row],[Rating rounded]]=5,1,0)</f>
        <v>0</v>
      </c>
    </row>
    <row r="376" spans="2:17" x14ac:dyDescent="0.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c r="M376" s="7" t="str">
        <f>_xlfn.XLOOKUP(calls[[#This Row],[Customer ID]],customers[Customer ID],customers[City])</f>
        <v>Cleveland</v>
      </c>
      <c r="N376" s="3" t="str">
        <f>_xlfn.XLOOKUP(calls[[#This Row],[Customer ID]],customers[Customer ID],customers[Gedner])</f>
        <v>Female</v>
      </c>
      <c r="P376">
        <f>IF(calls[[#This Row],[Call number]]&lt;&gt;"",1,0)</f>
        <v>1</v>
      </c>
      <c r="Q376">
        <f>IF(calls[[#This Row],[Rating rounded]]=5,1,0)</f>
        <v>0</v>
      </c>
    </row>
    <row r="377" spans="2:17" x14ac:dyDescent="0.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c r="M377" s="7" t="str">
        <f>_xlfn.XLOOKUP(calls[[#This Row],[Customer ID]],customers[Customer ID],customers[City])</f>
        <v>Columbus</v>
      </c>
      <c r="N377" s="3" t="str">
        <f>_xlfn.XLOOKUP(calls[[#This Row],[Customer ID]],customers[Customer ID],customers[Gedner])</f>
        <v>Male</v>
      </c>
      <c r="P377">
        <f>IF(calls[[#This Row],[Call number]]&lt;&gt;"",1,0)</f>
        <v>1</v>
      </c>
      <c r="Q377">
        <f>IF(calls[[#This Row],[Rating rounded]]=5,1,0)</f>
        <v>0</v>
      </c>
    </row>
    <row r="378" spans="2:17" x14ac:dyDescent="0.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c r="M378" s="7" t="str">
        <f>_xlfn.XLOOKUP(calls[[#This Row],[Customer ID]],customers[Customer ID],customers[City])</f>
        <v>Cleveland</v>
      </c>
      <c r="N378" s="3" t="str">
        <f>_xlfn.XLOOKUP(calls[[#This Row],[Customer ID]],customers[Customer ID],customers[Gedner])</f>
        <v>Female</v>
      </c>
      <c r="P378">
        <f>IF(calls[[#This Row],[Call number]]&lt;&gt;"",1,0)</f>
        <v>1</v>
      </c>
      <c r="Q378">
        <f>IF(calls[[#This Row],[Rating rounded]]=5,1,0)</f>
        <v>0</v>
      </c>
    </row>
    <row r="379" spans="2:17" x14ac:dyDescent="0.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c r="M379" s="7" t="str">
        <f>_xlfn.XLOOKUP(calls[[#This Row],[Customer ID]],customers[Customer ID],customers[City])</f>
        <v>Cleveland</v>
      </c>
      <c r="N379" s="3" t="str">
        <f>_xlfn.XLOOKUP(calls[[#This Row],[Customer ID]],customers[Customer ID],customers[Gedner])</f>
        <v>Female</v>
      </c>
      <c r="P379">
        <f>IF(calls[[#This Row],[Call number]]&lt;&gt;"",1,0)</f>
        <v>1</v>
      </c>
      <c r="Q379">
        <f>IF(calls[[#This Row],[Rating rounded]]=5,1,0)</f>
        <v>1</v>
      </c>
    </row>
    <row r="380" spans="2:17" x14ac:dyDescent="0.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c r="M380" s="7" t="str">
        <f>_xlfn.XLOOKUP(calls[[#This Row],[Customer ID]],customers[Customer ID],customers[City])</f>
        <v>Columbus</v>
      </c>
      <c r="N380" s="3" t="str">
        <f>_xlfn.XLOOKUP(calls[[#This Row],[Customer ID]],customers[Customer ID],customers[Gedner])</f>
        <v>Male</v>
      </c>
      <c r="P380">
        <f>IF(calls[[#This Row],[Call number]]&lt;&gt;"",1,0)</f>
        <v>1</v>
      </c>
      <c r="Q380">
        <f>IF(calls[[#This Row],[Rating rounded]]=5,1,0)</f>
        <v>0</v>
      </c>
    </row>
    <row r="381" spans="2:17" x14ac:dyDescent="0.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c r="M381" s="7" t="str">
        <f>_xlfn.XLOOKUP(calls[[#This Row],[Customer ID]],customers[Customer ID],customers[City])</f>
        <v>Cleveland</v>
      </c>
      <c r="N381" s="3" t="str">
        <f>_xlfn.XLOOKUP(calls[[#This Row],[Customer ID]],customers[Customer ID],customers[Gedner])</f>
        <v>Female</v>
      </c>
      <c r="P381">
        <f>IF(calls[[#This Row],[Call number]]&lt;&gt;"",1,0)</f>
        <v>1</v>
      </c>
      <c r="Q381">
        <f>IF(calls[[#This Row],[Rating rounded]]=5,1,0)</f>
        <v>0</v>
      </c>
    </row>
    <row r="382" spans="2:17" x14ac:dyDescent="0.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c r="M382" s="7" t="str">
        <f>_xlfn.XLOOKUP(calls[[#This Row],[Customer ID]],customers[Customer ID],customers[City])</f>
        <v>Columbus</v>
      </c>
      <c r="N382" s="3" t="str">
        <f>_xlfn.XLOOKUP(calls[[#This Row],[Customer ID]],customers[Customer ID],customers[Gedner])</f>
        <v>Female</v>
      </c>
      <c r="P382">
        <f>IF(calls[[#This Row],[Call number]]&lt;&gt;"",1,0)</f>
        <v>1</v>
      </c>
      <c r="Q382">
        <f>IF(calls[[#This Row],[Rating rounded]]=5,1,0)</f>
        <v>0</v>
      </c>
    </row>
    <row r="383" spans="2:17" x14ac:dyDescent="0.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c r="M383" s="7" t="str">
        <f>_xlfn.XLOOKUP(calls[[#This Row],[Customer ID]],customers[Customer ID],customers[City])</f>
        <v>Columbus</v>
      </c>
      <c r="N383" s="3" t="str">
        <f>_xlfn.XLOOKUP(calls[[#This Row],[Customer ID]],customers[Customer ID],customers[Gedner])</f>
        <v>Male</v>
      </c>
      <c r="P383">
        <f>IF(calls[[#This Row],[Call number]]&lt;&gt;"",1,0)</f>
        <v>1</v>
      </c>
      <c r="Q383">
        <f>IF(calls[[#This Row],[Rating rounded]]=5,1,0)</f>
        <v>0</v>
      </c>
    </row>
    <row r="384" spans="2:17" x14ac:dyDescent="0.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c r="M384" s="7" t="str">
        <f>_xlfn.XLOOKUP(calls[[#This Row],[Customer ID]],customers[Customer ID],customers[City])</f>
        <v>Cincinnati</v>
      </c>
      <c r="N384" s="3" t="str">
        <f>_xlfn.XLOOKUP(calls[[#This Row],[Customer ID]],customers[Customer ID],customers[Gedner])</f>
        <v>Male</v>
      </c>
      <c r="P384">
        <f>IF(calls[[#This Row],[Call number]]&lt;&gt;"",1,0)</f>
        <v>1</v>
      </c>
      <c r="Q384">
        <f>IF(calls[[#This Row],[Rating rounded]]=5,1,0)</f>
        <v>1</v>
      </c>
    </row>
    <row r="385" spans="2:17" x14ac:dyDescent="0.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c r="M385" s="7" t="str">
        <f>_xlfn.XLOOKUP(calls[[#This Row],[Customer ID]],customers[Customer ID],customers[City])</f>
        <v>Cincinnati</v>
      </c>
      <c r="N385" s="3" t="str">
        <f>_xlfn.XLOOKUP(calls[[#This Row],[Customer ID]],customers[Customer ID],customers[Gedner])</f>
        <v>Male</v>
      </c>
      <c r="P385">
        <f>IF(calls[[#This Row],[Call number]]&lt;&gt;"",1,0)</f>
        <v>1</v>
      </c>
      <c r="Q385">
        <f>IF(calls[[#This Row],[Rating rounded]]=5,1,0)</f>
        <v>0</v>
      </c>
    </row>
    <row r="386" spans="2:17" x14ac:dyDescent="0.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c r="M386" s="7" t="str">
        <f>_xlfn.XLOOKUP(calls[[#This Row],[Customer ID]],customers[Customer ID],customers[City])</f>
        <v>Cincinnati</v>
      </c>
      <c r="N386" s="3" t="str">
        <f>_xlfn.XLOOKUP(calls[[#This Row],[Customer ID]],customers[Customer ID],customers[Gedner])</f>
        <v>Female</v>
      </c>
      <c r="P386">
        <f>IF(calls[[#This Row],[Call number]]&lt;&gt;"",1,0)</f>
        <v>1</v>
      </c>
      <c r="Q386">
        <f>IF(calls[[#This Row],[Rating rounded]]=5,1,0)</f>
        <v>0</v>
      </c>
    </row>
    <row r="387" spans="2:17" x14ac:dyDescent="0.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c r="M387" s="7" t="str">
        <f>_xlfn.XLOOKUP(calls[[#This Row],[Customer ID]],customers[Customer ID],customers[City])</f>
        <v>Columbus</v>
      </c>
      <c r="N387" s="3" t="str">
        <f>_xlfn.XLOOKUP(calls[[#This Row],[Customer ID]],customers[Customer ID],customers[Gedner])</f>
        <v>Female</v>
      </c>
      <c r="P387">
        <f>IF(calls[[#This Row],[Call number]]&lt;&gt;"",1,0)</f>
        <v>1</v>
      </c>
      <c r="Q387">
        <f>IF(calls[[#This Row],[Rating rounded]]=5,1,0)</f>
        <v>1</v>
      </c>
    </row>
    <row r="388" spans="2:17" x14ac:dyDescent="0.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c r="M388" s="7" t="str">
        <f>_xlfn.XLOOKUP(calls[[#This Row],[Customer ID]],customers[Customer ID],customers[City])</f>
        <v>Columbus</v>
      </c>
      <c r="N388" s="3" t="str">
        <f>_xlfn.XLOOKUP(calls[[#This Row],[Customer ID]],customers[Customer ID],customers[Gedner])</f>
        <v>Male</v>
      </c>
      <c r="P388">
        <f>IF(calls[[#This Row],[Call number]]&lt;&gt;"",1,0)</f>
        <v>1</v>
      </c>
      <c r="Q388">
        <f>IF(calls[[#This Row],[Rating rounded]]=5,1,0)</f>
        <v>0</v>
      </c>
    </row>
    <row r="389" spans="2:17" x14ac:dyDescent="0.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c r="M389" s="7" t="str">
        <f>_xlfn.XLOOKUP(calls[[#This Row],[Customer ID]],customers[Customer ID],customers[City])</f>
        <v>Cleveland</v>
      </c>
      <c r="N389" s="3" t="str">
        <f>_xlfn.XLOOKUP(calls[[#This Row],[Customer ID]],customers[Customer ID],customers[Gedner])</f>
        <v>Female</v>
      </c>
      <c r="P389">
        <f>IF(calls[[#This Row],[Call number]]&lt;&gt;"",1,0)</f>
        <v>1</v>
      </c>
      <c r="Q389">
        <f>IF(calls[[#This Row],[Rating rounded]]=5,1,0)</f>
        <v>0</v>
      </c>
    </row>
    <row r="390" spans="2:17" x14ac:dyDescent="0.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c r="M390" s="7" t="str">
        <f>_xlfn.XLOOKUP(calls[[#This Row],[Customer ID]],customers[Customer ID],customers[City])</f>
        <v>Cleveland</v>
      </c>
      <c r="N390" s="3" t="str">
        <f>_xlfn.XLOOKUP(calls[[#This Row],[Customer ID]],customers[Customer ID],customers[Gedner])</f>
        <v>Female</v>
      </c>
      <c r="P390">
        <f>IF(calls[[#This Row],[Call number]]&lt;&gt;"",1,0)</f>
        <v>1</v>
      </c>
      <c r="Q390">
        <f>IF(calls[[#This Row],[Rating rounded]]=5,1,0)</f>
        <v>0</v>
      </c>
    </row>
    <row r="391" spans="2:17" x14ac:dyDescent="0.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c r="M391" s="7" t="str">
        <f>_xlfn.XLOOKUP(calls[[#This Row],[Customer ID]],customers[Customer ID],customers[City])</f>
        <v>Cleveland</v>
      </c>
      <c r="N391" s="3" t="str">
        <f>_xlfn.XLOOKUP(calls[[#This Row],[Customer ID]],customers[Customer ID],customers[Gedner])</f>
        <v>Female</v>
      </c>
      <c r="P391">
        <f>IF(calls[[#This Row],[Call number]]&lt;&gt;"",1,0)</f>
        <v>1</v>
      </c>
      <c r="Q391">
        <f>IF(calls[[#This Row],[Rating rounded]]=5,1,0)</f>
        <v>1</v>
      </c>
    </row>
    <row r="392" spans="2:17" x14ac:dyDescent="0.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c r="M392" s="7" t="str">
        <f>_xlfn.XLOOKUP(calls[[#This Row],[Customer ID]],customers[Customer ID],customers[City])</f>
        <v>Cincinnati</v>
      </c>
      <c r="N392" s="3" t="str">
        <f>_xlfn.XLOOKUP(calls[[#This Row],[Customer ID]],customers[Customer ID],customers[Gedner])</f>
        <v>Male</v>
      </c>
      <c r="P392">
        <f>IF(calls[[#This Row],[Call number]]&lt;&gt;"",1,0)</f>
        <v>1</v>
      </c>
      <c r="Q392">
        <f>IF(calls[[#This Row],[Rating rounded]]=5,1,0)</f>
        <v>0</v>
      </c>
    </row>
    <row r="393" spans="2:17" x14ac:dyDescent="0.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c r="M393" s="7" t="str">
        <f>_xlfn.XLOOKUP(calls[[#This Row],[Customer ID]],customers[Customer ID],customers[City])</f>
        <v>Cleveland</v>
      </c>
      <c r="N393" s="3" t="str">
        <f>_xlfn.XLOOKUP(calls[[#This Row],[Customer ID]],customers[Customer ID],customers[Gedner])</f>
        <v>Female</v>
      </c>
      <c r="P393">
        <f>IF(calls[[#This Row],[Call number]]&lt;&gt;"",1,0)</f>
        <v>1</v>
      </c>
      <c r="Q393">
        <f>IF(calls[[#This Row],[Rating rounded]]=5,1,0)</f>
        <v>1</v>
      </c>
    </row>
    <row r="394" spans="2:17" x14ac:dyDescent="0.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c r="M394" s="7" t="str">
        <f>_xlfn.XLOOKUP(calls[[#This Row],[Customer ID]],customers[Customer ID],customers[City])</f>
        <v>Cleveland</v>
      </c>
      <c r="N394" s="3" t="str">
        <f>_xlfn.XLOOKUP(calls[[#This Row],[Customer ID]],customers[Customer ID],customers[Gedner])</f>
        <v>Female</v>
      </c>
      <c r="P394">
        <f>IF(calls[[#This Row],[Call number]]&lt;&gt;"",1,0)</f>
        <v>1</v>
      </c>
      <c r="Q394">
        <f>IF(calls[[#This Row],[Rating rounded]]=5,1,0)</f>
        <v>0</v>
      </c>
    </row>
    <row r="395" spans="2:17" x14ac:dyDescent="0.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c r="M395" s="7" t="str">
        <f>_xlfn.XLOOKUP(calls[[#This Row],[Customer ID]],customers[Customer ID],customers[City])</f>
        <v>Columbus</v>
      </c>
      <c r="N395" s="3" t="str">
        <f>_xlfn.XLOOKUP(calls[[#This Row],[Customer ID]],customers[Customer ID],customers[Gedner])</f>
        <v>Male</v>
      </c>
      <c r="P395">
        <f>IF(calls[[#This Row],[Call number]]&lt;&gt;"",1,0)</f>
        <v>1</v>
      </c>
      <c r="Q395">
        <f>IF(calls[[#This Row],[Rating rounded]]=5,1,0)</f>
        <v>1</v>
      </c>
    </row>
    <row r="396" spans="2:17" x14ac:dyDescent="0.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c r="M396" s="7" t="str">
        <f>_xlfn.XLOOKUP(calls[[#This Row],[Customer ID]],customers[Customer ID],customers[City])</f>
        <v>Cleveland</v>
      </c>
      <c r="N396" s="3" t="str">
        <f>_xlfn.XLOOKUP(calls[[#This Row],[Customer ID]],customers[Customer ID],customers[Gedner])</f>
        <v>Female</v>
      </c>
      <c r="P396">
        <f>IF(calls[[#This Row],[Call number]]&lt;&gt;"",1,0)</f>
        <v>1</v>
      </c>
      <c r="Q396">
        <f>IF(calls[[#This Row],[Rating rounded]]=5,1,0)</f>
        <v>0</v>
      </c>
    </row>
    <row r="397" spans="2:17" x14ac:dyDescent="0.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c r="M397" s="7" t="str">
        <f>_xlfn.XLOOKUP(calls[[#This Row],[Customer ID]],customers[Customer ID],customers[City])</f>
        <v>Cincinnati</v>
      </c>
      <c r="N397" s="3" t="str">
        <f>_xlfn.XLOOKUP(calls[[#This Row],[Customer ID]],customers[Customer ID],customers[Gedner])</f>
        <v>Male</v>
      </c>
      <c r="P397">
        <f>IF(calls[[#This Row],[Call number]]&lt;&gt;"",1,0)</f>
        <v>1</v>
      </c>
      <c r="Q397">
        <f>IF(calls[[#This Row],[Rating rounded]]=5,1,0)</f>
        <v>0</v>
      </c>
    </row>
    <row r="398" spans="2:17" x14ac:dyDescent="0.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c r="M398" s="7" t="str">
        <f>_xlfn.XLOOKUP(calls[[#This Row],[Customer ID]],customers[Customer ID],customers[City])</f>
        <v>Cleveland</v>
      </c>
      <c r="N398" s="3" t="str">
        <f>_xlfn.XLOOKUP(calls[[#This Row],[Customer ID]],customers[Customer ID],customers[Gedner])</f>
        <v>Male</v>
      </c>
      <c r="P398">
        <f>IF(calls[[#This Row],[Call number]]&lt;&gt;"",1,0)</f>
        <v>1</v>
      </c>
      <c r="Q398">
        <f>IF(calls[[#This Row],[Rating rounded]]=5,1,0)</f>
        <v>1</v>
      </c>
    </row>
    <row r="399" spans="2:17" x14ac:dyDescent="0.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c r="M399" s="7" t="str">
        <f>_xlfn.XLOOKUP(calls[[#This Row],[Customer ID]],customers[Customer ID],customers[City])</f>
        <v>Cincinnati</v>
      </c>
      <c r="N399" s="3" t="str">
        <f>_xlfn.XLOOKUP(calls[[#This Row],[Customer ID]],customers[Customer ID],customers[Gedner])</f>
        <v>Male</v>
      </c>
      <c r="P399">
        <f>IF(calls[[#This Row],[Call number]]&lt;&gt;"",1,0)</f>
        <v>1</v>
      </c>
      <c r="Q399">
        <f>IF(calls[[#This Row],[Rating rounded]]=5,1,0)</f>
        <v>1</v>
      </c>
    </row>
    <row r="400" spans="2:17" x14ac:dyDescent="0.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c r="M400" s="7" t="str">
        <f>_xlfn.XLOOKUP(calls[[#This Row],[Customer ID]],customers[Customer ID],customers[City])</f>
        <v>Columbus</v>
      </c>
      <c r="N400" s="3" t="str">
        <f>_xlfn.XLOOKUP(calls[[#This Row],[Customer ID]],customers[Customer ID],customers[Gedner])</f>
        <v>Female</v>
      </c>
      <c r="P400">
        <f>IF(calls[[#This Row],[Call number]]&lt;&gt;"",1,0)</f>
        <v>1</v>
      </c>
      <c r="Q400">
        <f>IF(calls[[#This Row],[Rating rounded]]=5,1,0)</f>
        <v>0</v>
      </c>
    </row>
    <row r="401" spans="2:17" x14ac:dyDescent="0.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c r="M401" s="7" t="str">
        <f>_xlfn.XLOOKUP(calls[[#This Row],[Customer ID]],customers[Customer ID],customers[City])</f>
        <v>Cleveland</v>
      </c>
      <c r="N401" s="3" t="str">
        <f>_xlfn.XLOOKUP(calls[[#This Row],[Customer ID]],customers[Customer ID],customers[Gedner])</f>
        <v>Female</v>
      </c>
      <c r="P401">
        <f>IF(calls[[#This Row],[Call number]]&lt;&gt;"",1,0)</f>
        <v>1</v>
      </c>
      <c r="Q401">
        <f>IF(calls[[#This Row],[Rating rounded]]=5,1,0)</f>
        <v>0</v>
      </c>
    </row>
    <row r="402" spans="2:17" x14ac:dyDescent="0.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c r="M402" s="7" t="str">
        <f>_xlfn.XLOOKUP(calls[[#This Row],[Customer ID]],customers[Customer ID],customers[City])</f>
        <v>Cincinnati</v>
      </c>
      <c r="N402" s="3" t="str">
        <f>_xlfn.XLOOKUP(calls[[#This Row],[Customer ID]],customers[Customer ID],customers[Gedner])</f>
        <v>Male</v>
      </c>
      <c r="P402">
        <f>IF(calls[[#This Row],[Call number]]&lt;&gt;"",1,0)</f>
        <v>1</v>
      </c>
      <c r="Q402">
        <f>IF(calls[[#This Row],[Rating rounded]]=5,1,0)</f>
        <v>0</v>
      </c>
    </row>
    <row r="403" spans="2:17" x14ac:dyDescent="0.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c r="M403" s="7" t="str">
        <f>_xlfn.XLOOKUP(calls[[#This Row],[Customer ID]],customers[Customer ID],customers[City])</f>
        <v>Cleveland</v>
      </c>
      <c r="N403" s="3" t="str">
        <f>_xlfn.XLOOKUP(calls[[#This Row],[Customer ID]],customers[Customer ID],customers[Gedner])</f>
        <v>Female</v>
      </c>
      <c r="P403">
        <f>IF(calls[[#This Row],[Call number]]&lt;&gt;"",1,0)</f>
        <v>1</v>
      </c>
      <c r="Q403">
        <f>IF(calls[[#This Row],[Rating rounded]]=5,1,0)</f>
        <v>0</v>
      </c>
    </row>
    <row r="404" spans="2:17" x14ac:dyDescent="0.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c r="M404" s="7" t="str">
        <f>_xlfn.XLOOKUP(calls[[#This Row],[Customer ID]],customers[Customer ID],customers[City])</f>
        <v>Cleveland</v>
      </c>
      <c r="N404" s="3" t="str">
        <f>_xlfn.XLOOKUP(calls[[#This Row],[Customer ID]],customers[Customer ID],customers[Gedner])</f>
        <v>Female</v>
      </c>
      <c r="P404">
        <f>IF(calls[[#This Row],[Call number]]&lt;&gt;"",1,0)</f>
        <v>1</v>
      </c>
      <c r="Q404">
        <f>IF(calls[[#This Row],[Rating rounded]]=5,1,0)</f>
        <v>0</v>
      </c>
    </row>
    <row r="405" spans="2:17" x14ac:dyDescent="0.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c r="M405" s="7" t="str">
        <f>_xlfn.XLOOKUP(calls[[#This Row],[Customer ID]],customers[Customer ID],customers[City])</f>
        <v>Cleveland</v>
      </c>
      <c r="N405" s="3" t="str">
        <f>_xlfn.XLOOKUP(calls[[#This Row],[Customer ID]],customers[Customer ID],customers[Gedner])</f>
        <v>Male</v>
      </c>
      <c r="P405">
        <f>IF(calls[[#This Row],[Call number]]&lt;&gt;"",1,0)</f>
        <v>1</v>
      </c>
      <c r="Q405">
        <f>IF(calls[[#This Row],[Rating rounded]]=5,1,0)</f>
        <v>0</v>
      </c>
    </row>
    <row r="406" spans="2:17" x14ac:dyDescent="0.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c r="M406" s="7" t="str">
        <f>_xlfn.XLOOKUP(calls[[#This Row],[Customer ID]],customers[Customer ID],customers[City])</f>
        <v>Columbus</v>
      </c>
      <c r="N406" s="3" t="str">
        <f>_xlfn.XLOOKUP(calls[[#This Row],[Customer ID]],customers[Customer ID],customers[Gedner])</f>
        <v>Female</v>
      </c>
      <c r="P406">
        <f>IF(calls[[#This Row],[Call number]]&lt;&gt;"",1,0)</f>
        <v>1</v>
      </c>
      <c r="Q406">
        <f>IF(calls[[#This Row],[Rating rounded]]=5,1,0)</f>
        <v>0</v>
      </c>
    </row>
    <row r="407" spans="2:17" x14ac:dyDescent="0.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c r="M407" s="7" t="str">
        <f>_xlfn.XLOOKUP(calls[[#This Row],[Customer ID]],customers[Customer ID],customers[City])</f>
        <v>Columbus</v>
      </c>
      <c r="N407" s="3" t="str">
        <f>_xlfn.XLOOKUP(calls[[#This Row],[Customer ID]],customers[Customer ID],customers[Gedner])</f>
        <v>Female</v>
      </c>
      <c r="P407">
        <f>IF(calls[[#This Row],[Call number]]&lt;&gt;"",1,0)</f>
        <v>1</v>
      </c>
      <c r="Q407">
        <f>IF(calls[[#This Row],[Rating rounded]]=5,1,0)</f>
        <v>0</v>
      </c>
    </row>
    <row r="408" spans="2:17" x14ac:dyDescent="0.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c r="M408" s="7" t="str">
        <f>_xlfn.XLOOKUP(calls[[#This Row],[Customer ID]],customers[Customer ID],customers[City])</f>
        <v>Cincinnati</v>
      </c>
      <c r="N408" s="3" t="str">
        <f>_xlfn.XLOOKUP(calls[[#This Row],[Customer ID]],customers[Customer ID],customers[Gedner])</f>
        <v>Male</v>
      </c>
      <c r="P408">
        <f>IF(calls[[#This Row],[Call number]]&lt;&gt;"",1,0)</f>
        <v>1</v>
      </c>
      <c r="Q408">
        <f>IF(calls[[#This Row],[Rating rounded]]=5,1,0)</f>
        <v>1</v>
      </c>
    </row>
    <row r="409" spans="2:17" x14ac:dyDescent="0.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c r="M409" s="7" t="str">
        <f>_xlfn.XLOOKUP(calls[[#This Row],[Customer ID]],customers[Customer ID],customers[City])</f>
        <v>Cleveland</v>
      </c>
      <c r="N409" s="3" t="str">
        <f>_xlfn.XLOOKUP(calls[[#This Row],[Customer ID]],customers[Customer ID],customers[Gedner])</f>
        <v>Female</v>
      </c>
      <c r="P409">
        <f>IF(calls[[#This Row],[Call number]]&lt;&gt;"",1,0)</f>
        <v>1</v>
      </c>
      <c r="Q409">
        <f>IF(calls[[#This Row],[Rating rounded]]=5,1,0)</f>
        <v>0</v>
      </c>
    </row>
    <row r="410" spans="2:17" x14ac:dyDescent="0.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c r="M410" s="7" t="str">
        <f>_xlfn.XLOOKUP(calls[[#This Row],[Customer ID]],customers[Customer ID],customers[City])</f>
        <v>Cincinnati</v>
      </c>
      <c r="N410" s="3" t="str">
        <f>_xlfn.XLOOKUP(calls[[#This Row],[Customer ID]],customers[Customer ID],customers[Gedner])</f>
        <v>Male</v>
      </c>
      <c r="P410">
        <f>IF(calls[[#This Row],[Call number]]&lt;&gt;"",1,0)</f>
        <v>1</v>
      </c>
      <c r="Q410">
        <f>IF(calls[[#This Row],[Rating rounded]]=5,1,0)</f>
        <v>1</v>
      </c>
    </row>
    <row r="411" spans="2:17" x14ac:dyDescent="0.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c r="M411" s="7" t="str">
        <f>_xlfn.XLOOKUP(calls[[#This Row],[Customer ID]],customers[Customer ID],customers[City])</f>
        <v>Columbus</v>
      </c>
      <c r="N411" s="3" t="str">
        <f>_xlfn.XLOOKUP(calls[[#This Row],[Customer ID]],customers[Customer ID],customers[Gedner])</f>
        <v>Female</v>
      </c>
      <c r="P411">
        <f>IF(calls[[#This Row],[Call number]]&lt;&gt;"",1,0)</f>
        <v>1</v>
      </c>
      <c r="Q411">
        <f>IF(calls[[#This Row],[Rating rounded]]=5,1,0)</f>
        <v>0</v>
      </c>
    </row>
    <row r="412" spans="2:17" x14ac:dyDescent="0.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c r="M412" s="7" t="str">
        <f>_xlfn.XLOOKUP(calls[[#This Row],[Customer ID]],customers[Customer ID],customers[City])</f>
        <v>Columbus</v>
      </c>
      <c r="N412" s="3" t="str">
        <f>_xlfn.XLOOKUP(calls[[#This Row],[Customer ID]],customers[Customer ID],customers[Gedner])</f>
        <v>Male</v>
      </c>
      <c r="P412">
        <f>IF(calls[[#This Row],[Call number]]&lt;&gt;"",1,0)</f>
        <v>1</v>
      </c>
      <c r="Q412">
        <f>IF(calls[[#This Row],[Rating rounded]]=5,1,0)</f>
        <v>0</v>
      </c>
    </row>
    <row r="413" spans="2:17" x14ac:dyDescent="0.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c r="M413" s="7" t="str">
        <f>_xlfn.XLOOKUP(calls[[#This Row],[Customer ID]],customers[Customer ID],customers[City])</f>
        <v>Cleveland</v>
      </c>
      <c r="N413" s="3" t="str">
        <f>_xlfn.XLOOKUP(calls[[#This Row],[Customer ID]],customers[Customer ID],customers[Gedner])</f>
        <v>Female</v>
      </c>
      <c r="P413">
        <f>IF(calls[[#This Row],[Call number]]&lt;&gt;"",1,0)</f>
        <v>1</v>
      </c>
      <c r="Q413">
        <f>IF(calls[[#This Row],[Rating rounded]]=5,1,0)</f>
        <v>0</v>
      </c>
    </row>
    <row r="414" spans="2:17" x14ac:dyDescent="0.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c r="M414" s="7" t="str">
        <f>_xlfn.XLOOKUP(calls[[#This Row],[Customer ID]],customers[Customer ID],customers[City])</f>
        <v>Cleveland</v>
      </c>
      <c r="N414" s="3" t="str">
        <f>_xlfn.XLOOKUP(calls[[#This Row],[Customer ID]],customers[Customer ID],customers[Gedner])</f>
        <v>Female</v>
      </c>
      <c r="P414">
        <f>IF(calls[[#This Row],[Call number]]&lt;&gt;"",1,0)</f>
        <v>1</v>
      </c>
      <c r="Q414">
        <f>IF(calls[[#This Row],[Rating rounded]]=5,1,0)</f>
        <v>1</v>
      </c>
    </row>
    <row r="415" spans="2:17" x14ac:dyDescent="0.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c r="M415" s="7" t="str">
        <f>_xlfn.XLOOKUP(calls[[#This Row],[Customer ID]],customers[Customer ID],customers[City])</f>
        <v>Columbus</v>
      </c>
      <c r="N415" s="3" t="str">
        <f>_xlfn.XLOOKUP(calls[[#This Row],[Customer ID]],customers[Customer ID],customers[Gedner])</f>
        <v>Male</v>
      </c>
      <c r="P415">
        <f>IF(calls[[#This Row],[Call number]]&lt;&gt;"",1,0)</f>
        <v>1</v>
      </c>
      <c r="Q415">
        <f>IF(calls[[#This Row],[Rating rounded]]=5,1,0)</f>
        <v>0</v>
      </c>
    </row>
    <row r="416" spans="2:17" x14ac:dyDescent="0.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c r="M416" s="7" t="str">
        <f>_xlfn.XLOOKUP(calls[[#This Row],[Customer ID]],customers[Customer ID],customers[City])</f>
        <v>Cincinnati</v>
      </c>
      <c r="N416" s="3" t="str">
        <f>_xlfn.XLOOKUP(calls[[#This Row],[Customer ID]],customers[Customer ID],customers[Gedner])</f>
        <v>Female</v>
      </c>
      <c r="P416">
        <f>IF(calls[[#This Row],[Call number]]&lt;&gt;"",1,0)</f>
        <v>1</v>
      </c>
      <c r="Q416">
        <f>IF(calls[[#This Row],[Rating rounded]]=5,1,0)</f>
        <v>1</v>
      </c>
    </row>
    <row r="417" spans="2:17" x14ac:dyDescent="0.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c r="M417" s="7" t="str">
        <f>_xlfn.XLOOKUP(calls[[#This Row],[Customer ID]],customers[Customer ID],customers[City])</f>
        <v>Columbus</v>
      </c>
      <c r="N417" s="3" t="str">
        <f>_xlfn.XLOOKUP(calls[[#This Row],[Customer ID]],customers[Customer ID],customers[Gedner])</f>
        <v>Male</v>
      </c>
      <c r="P417">
        <f>IF(calls[[#This Row],[Call number]]&lt;&gt;"",1,0)</f>
        <v>1</v>
      </c>
      <c r="Q417">
        <f>IF(calls[[#This Row],[Rating rounded]]=5,1,0)</f>
        <v>0</v>
      </c>
    </row>
    <row r="418" spans="2:17" x14ac:dyDescent="0.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c r="M418" s="7" t="str">
        <f>_xlfn.XLOOKUP(calls[[#This Row],[Customer ID]],customers[Customer ID],customers[City])</f>
        <v>Cincinnati</v>
      </c>
      <c r="N418" s="3" t="str">
        <f>_xlfn.XLOOKUP(calls[[#This Row],[Customer ID]],customers[Customer ID],customers[Gedner])</f>
        <v>Male</v>
      </c>
      <c r="P418">
        <f>IF(calls[[#This Row],[Call number]]&lt;&gt;"",1,0)</f>
        <v>1</v>
      </c>
      <c r="Q418">
        <f>IF(calls[[#This Row],[Rating rounded]]=5,1,0)</f>
        <v>0</v>
      </c>
    </row>
    <row r="419" spans="2:17" x14ac:dyDescent="0.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c r="M419" s="7" t="str">
        <f>_xlfn.XLOOKUP(calls[[#This Row],[Customer ID]],customers[Customer ID],customers[City])</f>
        <v>Cincinnati</v>
      </c>
      <c r="N419" s="3" t="str">
        <f>_xlfn.XLOOKUP(calls[[#This Row],[Customer ID]],customers[Customer ID],customers[Gedner])</f>
        <v>Female</v>
      </c>
      <c r="P419">
        <f>IF(calls[[#This Row],[Call number]]&lt;&gt;"",1,0)</f>
        <v>1</v>
      </c>
      <c r="Q419">
        <f>IF(calls[[#This Row],[Rating rounded]]=5,1,0)</f>
        <v>1</v>
      </c>
    </row>
    <row r="420" spans="2:17" x14ac:dyDescent="0.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c r="M420" s="7" t="str">
        <f>_xlfn.XLOOKUP(calls[[#This Row],[Customer ID]],customers[Customer ID],customers[City])</f>
        <v>Columbus</v>
      </c>
      <c r="N420" s="3" t="str">
        <f>_xlfn.XLOOKUP(calls[[#This Row],[Customer ID]],customers[Customer ID],customers[Gedner])</f>
        <v>Male</v>
      </c>
      <c r="P420">
        <f>IF(calls[[#This Row],[Call number]]&lt;&gt;"",1,0)</f>
        <v>1</v>
      </c>
      <c r="Q420">
        <f>IF(calls[[#This Row],[Rating rounded]]=5,1,0)</f>
        <v>0</v>
      </c>
    </row>
    <row r="421" spans="2:17" x14ac:dyDescent="0.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c r="M421" s="7" t="str">
        <f>_xlfn.XLOOKUP(calls[[#This Row],[Customer ID]],customers[Customer ID],customers[City])</f>
        <v>Cincinnati</v>
      </c>
      <c r="N421" s="3" t="str">
        <f>_xlfn.XLOOKUP(calls[[#This Row],[Customer ID]],customers[Customer ID],customers[Gedner])</f>
        <v>Female</v>
      </c>
      <c r="P421">
        <f>IF(calls[[#This Row],[Call number]]&lt;&gt;"",1,0)</f>
        <v>1</v>
      </c>
      <c r="Q421">
        <f>IF(calls[[#This Row],[Rating rounded]]=5,1,0)</f>
        <v>0</v>
      </c>
    </row>
    <row r="422" spans="2:17" x14ac:dyDescent="0.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c r="M422" s="7" t="str">
        <f>_xlfn.XLOOKUP(calls[[#This Row],[Customer ID]],customers[Customer ID],customers[City])</f>
        <v>Columbus</v>
      </c>
      <c r="N422" s="3" t="str">
        <f>_xlfn.XLOOKUP(calls[[#This Row],[Customer ID]],customers[Customer ID],customers[Gedner])</f>
        <v>Male</v>
      </c>
      <c r="P422">
        <f>IF(calls[[#This Row],[Call number]]&lt;&gt;"",1,0)</f>
        <v>1</v>
      </c>
      <c r="Q422">
        <f>IF(calls[[#This Row],[Rating rounded]]=5,1,0)</f>
        <v>0</v>
      </c>
    </row>
    <row r="423" spans="2:17" x14ac:dyDescent="0.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c r="M423" s="7" t="str">
        <f>_xlfn.XLOOKUP(calls[[#This Row],[Customer ID]],customers[Customer ID],customers[City])</f>
        <v>Cleveland</v>
      </c>
      <c r="N423" s="3" t="str">
        <f>_xlfn.XLOOKUP(calls[[#This Row],[Customer ID]],customers[Customer ID],customers[Gedner])</f>
        <v>Female</v>
      </c>
      <c r="P423">
        <f>IF(calls[[#This Row],[Call number]]&lt;&gt;"",1,0)</f>
        <v>1</v>
      </c>
      <c r="Q423">
        <f>IF(calls[[#This Row],[Rating rounded]]=5,1,0)</f>
        <v>1</v>
      </c>
    </row>
    <row r="424" spans="2:17" x14ac:dyDescent="0.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c r="M424" s="7" t="str">
        <f>_xlfn.XLOOKUP(calls[[#This Row],[Customer ID]],customers[Customer ID],customers[City])</f>
        <v>Cincinnati</v>
      </c>
      <c r="N424" s="3" t="str">
        <f>_xlfn.XLOOKUP(calls[[#This Row],[Customer ID]],customers[Customer ID],customers[Gedner])</f>
        <v>Female</v>
      </c>
      <c r="P424">
        <f>IF(calls[[#This Row],[Call number]]&lt;&gt;"",1,0)</f>
        <v>1</v>
      </c>
      <c r="Q424">
        <f>IF(calls[[#This Row],[Rating rounded]]=5,1,0)</f>
        <v>1</v>
      </c>
    </row>
    <row r="425" spans="2:17" x14ac:dyDescent="0.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c r="M425" s="7" t="str">
        <f>_xlfn.XLOOKUP(calls[[#This Row],[Customer ID]],customers[Customer ID],customers[City])</f>
        <v>Cleveland</v>
      </c>
      <c r="N425" s="3" t="str">
        <f>_xlfn.XLOOKUP(calls[[#This Row],[Customer ID]],customers[Customer ID],customers[Gedner])</f>
        <v>Male</v>
      </c>
      <c r="P425">
        <f>IF(calls[[#This Row],[Call number]]&lt;&gt;"",1,0)</f>
        <v>1</v>
      </c>
      <c r="Q425">
        <f>IF(calls[[#This Row],[Rating rounded]]=5,1,0)</f>
        <v>0</v>
      </c>
    </row>
    <row r="426" spans="2:17" x14ac:dyDescent="0.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c r="M426" s="7" t="str">
        <f>_xlfn.XLOOKUP(calls[[#This Row],[Customer ID]],customers[Customer ID],customers[City])</f>
        <v>Cleveland</v>
      </c>
      <c r="N426" s="3" t="str">
        <f>_xlfn.XLOOKUP(calls[[#This Row],[Customer ID]],customers[Customer ID],customers[Gedner])</f>
        <v>Male</v>
      </c>
      <c r="P426">
        <f>IF(calls[[#This Row],[Call number]]&lt;&gt;"",1,0)</f>
        <v>1</v>
      </c>
      <c r="Q426">
        <f>IF(calls[[#This Row],[Rating rounded]]=5,1,0)</f>
        <v>0</v>
      </c>
    </row>
    <row r="427" spans="2:17" x14ac:dyDescent="0.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c r="M427" s="7" t="str">
        <f>_xlfn.XLOOKUP(calls[[#This Row],[Customer ID]],customers[Customer ID],customers[City])</f>
        <v>Columbus</v>
      </c>
      <c r="N427" s="3" t="str">
        <f>_xlfn.XLOOKUP(calls[[#This Row],[Customer ID]],customers[Customer ID],customers[Gedner])</f>
        <v>Male</v>
      </c>
      <c r="P427">
        <f>IF(calls[[#This Row],[Call number]]&lt;&gt;"",1,0)</f>
        <v>1</v>
      </c>
      <c r="Q427">
        <f>IF(calls[[#This Row],[Rating rounded]]=5,1,0)</f>
        <v>0</v>
      </c>
    </row>
    <row r="428" spans="2:17" x14ac:dyDescent="0.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c r="M428" s="7" t="str">
        <f>_xlfn.XLOOKUP(calls[[#This Row],[Customer ID]],customers[Customer ID],customers[City])</f>
        <v>Cincinnati</v>
      </c>
      <c r="N428" s="3" t="str">
        <f>_xlfn.XLOOKUP(calls[[#This Row],[Customer ID]],customers[Customer ID],customers[Gedner])</f>
        <v>Male</v>
      </c>
      <c r="P428">
        <f>IF(calls[[#This Row],[Call number]]&lt;&gt;"",1,0)</f>
        <v>1</v>
      </c>
      <c r="Q428">
        <f>IF(calls[[#This Row],[Rating rounded]]=5,1,0)</f>
        <v>1</v>
      </c>
    </row>
    <row r="429" spans="2:17" x14ac:dyDescent="0.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c r="M429" s="7" t="str">
        <f>_xlfn.XLOOKUP(calls[[#This Row],[Customer ID]],customers[Customer ID],customers[City])</f>
        <v>Cleveland</v>
      </c>
      <c r="N429" s="3" t="str">
        <f>_xlfn.XLOOKUP(calls[[#This Row],[Customer ID]],customers[Customer ID],customers[Gedner])</f>
        <v>Female</v>
      </c>
      <c r="P429">
        <f>IF(calls[[#This Row],[Call number]]&lt;&gt;"",1,0)</f>
        <v>1</v>
      </c>
      <c r="Q429">
        <f>IF(calls[[#This Row],[Rating rounded]]=5,1,0)</f>
        <v>0</v>
      </c>
    </row>
    <row r="430" spans="2:17" x14ac:dyDescent="0.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c r="M430" s="7" t="str">
        <f>_xlfn.XLOOKUP(calls[[#This Row],[Customer ID]],customers[Customer ID],customers[City])</f>
        <v>Columbus</v>
      </c>
      <c r="N430" s="3" t="str">
        <f>_xlfn.XLOOKUP(calls[[#This Row],[Customer ID]],customers[Customer ID],customers[Gedner])</f>
        <v>Female</v>
      </c>
      <c r="P430">
        <f>IF(calls[[#This Row],[Call number]]&lt;&gt;"",1,0)</f>
        <v>1</v>
      </c>
      <c r="Q430">
        <f>IF(calls[[#This Row],[Rating rounded]]=5,1,0)</f>
        <v>0</v>
      </c>
    </row>
    <row r="431" spans="2:17" x14ac:dyDescent="0.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c r="M431" s="7" t="str">
        <f>_xlfn.XLOOKUP(calls[[#This Row],[Customer ID]],customers[Customer ID],customers[City])</f>
        <v>Columbus</v>
      </c>
      <c r="N431" s="3" t="str">
        <f>_xlfn.XLOOKUP(calls[[#This Row],[Customer ID]],customers[Customer ID],customers[Gedner])</f>
        <v>Male</v>
      </c>
      <c r="P431">
        <f>IF(calls[[#This Row],[Call number]]&lt;&gt;"",1,0)</f>
        <v>1</v>
      </c>
      <c r="Q431">
        <f>IF(calls[[#This Row],[Rating rounded]]=5,1,0)</f>
        <v>0</v>
      </c>
    </row>
    <row r="432" spans="2:17" x14ac:dyDescent="0.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c r="M432" s="7" t="str">
        <f>_xlfn.XLOOKUP(calls[[#This Row],[Customer ID]],customers[Customer ID],customers[City])</f>
        <v>Columbus</v>
      </c>
      <c r="N432" s="3" t="str">
        <f>_xlfn.XLOOKUP(calls[[#This Row],[Customer ID]],customers[Customer ID],customers[Gedner])</f>
        <v>Male</v>
      </c>
      <c r="P432">
        <f>IF(calls[[#This Row],[Call number]]&lt;&gt;"",1,0)</f>
        <v>1</v>
      </c>
      <c r="Q432">
        <f>IF(calls[[#This Row],[Rating rounded]]=5,1,0)</f>
        <v>1</v>
      </c>
    </row>
    <row r="433" spans="2:17" x14ac:dyDescent="0.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c r="M433" s="7" t="str">
        <f>_xlfn.XLOOKUP(calls[[#This Row],[Customer ID]],customers[Customer ID],customers[City])</f>
        <v>Cleveland</v>
      </c>
      <c r="N433" s="3" t="str">
        <f>_xlfn.XLOOKUP(calls[[#This Row],[Customer ID]],customers[Customer ID],customers[Gedner])</f>
        <v>Male</v>
      </c>
      <c r="P433">
        <f>IF(calls[[#This Row],[Call number]]&lt;&gt;"",1,0)</f>
        <v>1</v>
      </c>
      <c r="Q433">
        <f>IF(calls[[#This Row],[Rating rounded]]=5,1,0)</f>
        <v>0</v>
      </c>
    </row>
    <row r="434" spans="2:17" x14ac:dyDescent="0.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c r="M434" s="7" t="str">
        <f>_xlfn.XLOOKUP(calls[[#This Row],[Customer ID]],customers[Customer ID],customers[City])</f>
        <v>Cleveland</v>
      </c>
      <c r="N434" s="3" t="str">
        <f>_xlfn.XLOOKUP(calls[[#This Row],[Customer ID]],customers[Customer ID],customers[Gedner])</f>
        <v>Female</v>
      </c>
      <c r="P434">
        <f>IF(calls[[#This Row],[Call number]]&lt;&gt;"",1,0)</f>
        <v>1</v>
      </c>
      <c r="Q434">
        <f>IF(calls[[#This Row],[Rating rounded]]=5,1,0)</f>
        <v>0</v>
      </c>
    </row>
    <row r="435" spans="2:17" x14ac:dyDescent="0.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c r="M435" s="7" t="str">
        <f>_xlfn.XLOOKUP(calls[[#This Row],[Customer ID]],customers[Customer ID],customers[City])</f>
        <v>Cleveland</v>
      </c>
      <c r="N435" s="3" t="str">
        <f>_xlfn.XLOOKUP(calls[[#This Row],[Customer ID]],customers[Customer ID],customers[Gedner])</f>
        <v>Female</v>
      </c>
      <c r="P435">
        <f>IF(calls[[#This Row],[Call number]]&lt;&gt;"",1,0)</f>
        <v>1</v>
      </c>
      <c r="Q435">
        <f>IF(calls[[#This Row],[Rating rounded]]=5,1,0)</f>
        <v>0</v>
      </c>
    </row>
    <row r="436" spans="2:17" x14ac:dyDescent="0.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c r="M436" s="7" t="str">
        <f>_xlfn.XLOOKUP(calls[[#This Row],[Customer ID]],customers[Customer ID],customers[City])</f>
        <v>Columbus</v>
      </c>
      <c r="N436" s="3" t="str">
        <f>_xlfn.XLOOKUP(calls[[#This Row],[Customer ID]],customers[Customer ID],customers[Gedner])</f>
        <v>Female</v>
      </c>
      <c r="P436">
        <f>IF(calls[[#This Row],[Call number]]&lt;&gt;"",1,0)</f>
        <v>1</v>
      </c>
      <c r="Q436">
        <f>IF(calls[[#This Row],[Rating rounded]]=5,1,0)</f>
        <v>1</v>
      </c>
    </row>
    <row r="437" spans="2:17" x14ac:dyDescent="0.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c r="M437" s="7" t="str">
        <f>_xlfn.XLOOKUP(calls[[#This Row],[Customer ID]],customers[Customer ID],customers[City])</f>
        <v>Columbus</v>
      </c>
      <c r="N437" s="3" t="str">
        <f>_xlfn.XLOOKUP(calls[[#This Row],[Customer ID]],customers[Customer ID],customers[Gedner])</f>
        <v>Male</v>
      </c>
      <c r="P437">
        <f>IF(calls[[#This Row],[Call number]]&lt;&gt;"",1,0)</f>
        <v>1</v>
      </c>
      <c r="Q437">
        <f>IF(calls[[#This Row],[Rating rounded]]=5,1,0)</f>
        <v>1</v>
      </c>
    </row>
    <row r="438" spans="2:17" x14ac:dyDescent="0.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c r="M438" s="7" t="str">
        <f>_xlfn.XLOOKUP(calls[[#This Row],[Customer ID]],customers[Customer ID],customers[City])</f>
        <v>Cleveland</v>
      </c>
      <c r="N438" s="3" t="str">
        <f>_xlfn.XLOOKUP(calls[[#This Row],[Customer ID]],customers[Customer ID],customers[Gedner])</f>
        <v>Male</v>
      </c>
      <c r="P438">
        <f>IF(calls[[#This Row],[Call number]]&lt;&gt;"",1,0)</f>
        <v>1</v>
      </c>
      <c r="Q438">
        <f>IF(calls[[#This Row],[Rating rounded]]=5,1,0)</f>
        <v>1</v>
      </c>
    </row>
    <row r="439" spans="2:17" x14ac:dyDescent="0.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c r="M439" s="7" t="str">
        <f>_xlfn.XLOOKUP(calls[[#This Row],[Customer ID]],customers[Customer ID],customers[City])</f>
        <v>Columbus</v>
      </c>
      <c r="N439" s="3" t="str">
        <f>_xlfn.XLOOKUP(calls[[#This Row],[Customer ID]],customers[Customer ID],customers[Gedner])</f>
        <v>Female</v>
      </c>
      <c r="P439">
        <f>IF(calls[[#This Row],[Call number]]&lt;&gt;"",1,0)</f>
        <v>1</v>
      </c>
      <c r="Q439">
        <f>IF(calls[[#This Row],[Rating rounded]]=5,1,0)</f>
        <v>0</v>
      </c>
    </row>
    <row r="440" spans="2:17" x14ac:dyDescent="0.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c r="M440" s="7" t="str">
        <f>_xlfn.XLOOKUP(calls[[#This Row],[Customer ID]],customers[Customer ID],customers[City])</f>
        <v>Cleveland</v>
      </c>
      <c r="N440" s="3" t="str">
        <f>_xlfn.XLOOKUP(calls[[#This Row],[Customer ID]],customers[Customer ID],customers[Gedner])</f>
        <v>Female</v>
      </c>
      <c r="P440">
        <f>IF(calls[[#This Row],[Call number]]&lt;&gt;"",1,0)</f>
        <v>1</v>
      </c>
      <c r="Q440">
        <f>IF(calls[[#This Row],[Rating rounded]]=5,1,0)</f>
        <v>1</v>
      </c>
    </row>
    <row r="441" spans="2:17" x14ac:dyDescent="0.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c r="M441" s="7" t="str">
        <f>_xlfn.XLOOKUP(calls[[#This Row],[Customer ID]],customers[Customer ID],customers[City])</f>
        <v>Cleveland</v>
      </c>
      <c r="N441" s="3" t="str">
        <f>_xlfn.XLOOKUP(calls[[#This Row],[Customer ID]],customers[Customer ID],customers[Gedner])</f>
        <v>Female</v>
      </c>
      <c r="P441">
        <f>IF(calls[[#This Row],[Call number]]&lt;&gt;"",1,0)</f>
        <v>1</v>
      </c>
      <c r="Q441">
        <f>IF(calls[[#This Row],[Rating rounded]]=5,1,0)</f>
        <v>0</v>
      </c>
    </row>
    <row r="442" spans="2:17" x14ac:dyDescent="0.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c r="M442" s="7" t="str">
        <f>_xlfn.XLOOKUP(calls[[#This Row],[Customer ID]],customers[Customer ID],customers[City])</f>
        <v>Cincinnati</v>
      </c>
      <c r="N442" s="3" t="str">
        <f>_xlfn.XLOOKUP(calls[[#This Row],[Customer ID]],customers[Customer ID],customers[Gedner])</f>
        <v>Male</v>
      </c>
      <c r="P442">
        <f>IF(calls[[#This Row],[Call number]]&lt;&gt;"",1,0)</f>
        <v>1</v>
      </c>
      <c r="Q442">
        <f>IF(calls[[#This Row],[Rating rounded]]=5,1,0)</f>
        <v>0</v>
      </c>
    </row>
    <row r="443" spans="2:17" x14ac:dyDescent="0.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c r="M443" s="7" t="str">
        <f>_xlfn.XLOOKUP(calls[[#This Row],[Customer ID]],customers[Customer ID],customers[City])</f>
        <v>Cleveland</v>
      </c>
      <c r="N443" s="3" t="str">
        <f>_xlfn.XLOOKUP(calls[[#This Row],[Customer ID]],customers[Customer ID],customers[Gedner])</f>
        <v>Male</v>
      </c>
      <c r="P443">
        <f>IF(calls[[#This Row],[Call number]]&lt;&gt;"",1,0)</f>
        <v>1</v>
      </c>
      <c r="Q443">
        <f>IF(calls[[#This Row],[Rating rounded]]=5,1,0)</f>
        <v>0</v>
      </c>
    </row>
    <row r="444" spans="2:17" x14ac:dyDescent="0.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c r="M444" s="7" t="str">
        <f>_xlfn.XLOOKUP(calls[[#This Row],[Customer ID]],customers[Customer ID],customers[City])</f>
        <v>Cleveland</v>
      </c>
      <c r="N444" s="3" t="str">
        <f>_xlfn.XLOOKUP(calls[[#This Row],[Customer ID]],customers[Customer ID],customers[Gedner])</f>
        <v>Female</v>
      </c>
      <c r="P444">
        <f>IF(calls[[#This Row],[Call number]]&lt;&gt;"",1,0)</f>
        <v>1</v>
      </c>
      <c r="Q444">
        <f>IF(calls[[#This Row],[Rating rounded]]=5,1,0)</f>
        <v>1</v>
      </c>
    </row>
    <row r="445" spans="2:17" x14ac:dyDescent="0.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c r="M445" s="7" t="str">
        <f>_xlfn.XLOOKUP(calls[[#This Row],[Customer ID]],customers[Customer ID],customers[City])</f>
        <v>Cleveland</v>
      </c>
      <c r="N445" s="3" t="str">
        <f>_xlfn.XLOOKUP(calls[[#This Row],[Customer ID]],customers[Customer ID],customers[Gedner])</f>
        <v>Female</v>
      </c>
      <c r="P445">
        <f>IF(calls[[#This Row],[Call number]]&lt;&gt;"",1,0)</f>
        <v>1</v>
      </c>
      <c r="Q445">
        <f>IF(calls[[#This Row],[Rating rounded]]=5,1,0)</f>
        <v>1</v>
      </c>
    </row>
    <row r="446" spans="2:17" x14ac:dyDescent="0.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c r="M446" s="7" t="str">
        <f>_xlfn.XLOOKUP(calls[[#This Row],[Customer ID]],customers[Customer ID],customers[City])</f>
        <v>Cincinnati</v>
      </c>
      <c r="N446" s="3" t="str">
        <f>_xlfn.XLOOKUP(calls[[#This Row],[Customer ID]],customers[Customer ID],customers[Gedner])</f>
        <v>Male</v>
      </c>
      <c r="P446">
        <f>IF(calls[[#This Row],[Call number]]&lt;&gt;"",1,0)</f>
        <v>1</v>
      </c>
      <c r="Q446">
        <f>IF(calls[[#This Row],[Rating rounded]]=5,1,0)</f>
        <v>0</v>
      </c>
    </row>
    <row r="447" spans="2:17" x14ac:dyDescent="0.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c r="M447" s="7" t="str">
        <f>_xlfn.XLOOKUP(calls[[#This Row],[Customer ID]],customers[Customer ID],customers[City])</f>
        <v>Cleveland</v>
      </c>
      <c r="N447" s="3" t="str">
        <f>_xlfn.XLOOKUP(calls[[#This Row],[Customer ID]],customers[Customer ID],customers[Gedner])</f>
        <v>Female</v>
      </c>
      <c r="P447">
        <f>IF(calls[[#This Row],[Call number]]&lt;&gt;"",1,0)</f>
        <v>1</v>
      </c>
      <c r="Q447">
        <f>IF(calls[[#This Row],[Rating rounded]]=5,1,0)</f>
        <v>0</v>
      </c>
    </row>
    <row r="448" spans="2:17" x14ac:dyDescent="0.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c r="M448" s="7" t="str">
        <f>_xlfn.XLOOKUP(calls[[#This Row],[Customer ID]],customers[Customer ID],customers[City])</f>
        <v>Columbus</v>
      </c>
      <c r="N448" s="3" t="str">
        <f>_xlfn.XLOOKUP(calls[[#This Row],[Customer ID]],customers[Customer ID],customers[Gedner])</f>
        <v>Male</v>
      </c>
      <c r="P448">
        <f>IF(calls[[#This Row],[Call number]]&lt;&gt;"",1,0)</f>
        <v>1</v>
      </c>
      <c r="Q448">
        <f>IF(calls[[#This Row],[Rating rounded]]=5,1,0)</f>
        <v>0</v>
      </c>
    </row>
    <row r="449" spans="2:17" x14ac:dyDescent="0.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c r="M449" s="7" t="str">
        <f>_xlfn.XLOOKUP(calls[[#This Row],[Customer ID]],customers[Customer ID],customers[City])</f>
        <v>Cincinnati</v>
      </c>
      <c r="N449" s="3" t="str">
        <f>_xlfn.XLOOKUP(calls[[#This Row],[Customer ID]],customers[Customer ID],customers[Gedner])</f>
        <v>Male</v>
      </c>
      <c r="P449">
        <f>IF(calls[[#This Row],[Call number]]&lt;&gt;"",1,0)</f>
        <v>1</v>
      </c>
      <c r="Q449">
        <f>IF(calls[[#This Row],[Rating rounded]]=5,1,0)</f>
        <v>0</v>
      </c>
    </row>
    <row r="450" spans="2:17" x14ac:dyDescent="0.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c r="M450" s="7" t="str">
        <f>_xlfn.XLOOKUP(calls[[#This Row],[Customer ID]],customers[Customer ID],customers[City])</f>
        <v>Columbus</v>
      </c>
      <c r="N450" s="3" t="str">
        <f>_xlfn.XLOOKUP(calls[[#This Row],[Customer ID]],customers[Customer ID],customers[Gedner])</f>
        <v>Female</v>
      </c>
      <c r="P450">
        <f>IF(calls[[#This Row],[Call number]]&lt;&gt;"",1,0)</f>
        <v>1</v>
      </c>
      <c r="Q450">
        <f>IF(calls[[#This Row],[Rating rounded]]=5,1,0)</f>
        <v>0</v>
      </c>
    </row>
    <row r="451" spans="2:17" x14ac:dyDescent="0.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c r="M451" s="7" t="str">
        <f>_xlfn.XLOOKUP(calls[[#This Row],[Customer ID]],customers[Customer ID],customers[City])</f>
        <v>Cincinnati</v>
      </c>
      <c r="N451" s="3" t="str">
        <f>_xlfn.XLOOKUP(calls[[#This Row],[Customer ID]],customers[Customer ID],customers[Gedner])</f>
        <v>Male</v>
      </c>
      <c r="P451">
        <f>IF(calls[[#This Row],[Call number]]&lt;&gt;"",1,0)</f>
        <v>1</v>
      </c>
      <c r="Q451">
        <f>IF(calls[[#This Row],[Rating rounded]]=5,1,0)</f>
        <v>0</v>
      </c>
    </row>
    <row r="452" spans="2:17" x14ac:dyDescent="0.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c r="M452" s="7" t="str">
        <f>_xlfn.XLOOKUP(calls[[#This Row],[Customer ID]],customers[Customer ID],customers[City])</f>
        <v>Columbus</v>
      </c>
      <c r="N452" s="3" t="str">
        <f>_xlfn.XLOOKUP(calls[[#This Row],[Customer ID]],customers[Customer ID],customers[Gedner])</f>
        <v>Male</v>
      </c>
      <c r="P452">
        <f>IF(calls[[#This Row],[Call number]]&lt;&gt;"",1,0)</f>
        <v>1</v>
      </c>
      <c r="Q452">
        <f>IF(calls[[#This Row],[Rating rounded]]=5,1,0)</f>
        <v>1</v>
      </c>
    </row>
    <row r="453" spans="2:17" x14ac:dyDescent="0.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c r="M453" s="7" t="str">
        <f>_xlfn.XLOOKUP(calls[[#This Row],[Customer ID]],customers[Customer ID],customers[City])</f>
        <v>Cleveland</v>
      </c>
      <c r="N453" s="3" t="str">
        <f>_xlfn.XLOOKUP(calls[[#This Row],[Customer ID]],customers[Customer ID],customers[Gedner])</f>
        <v>Female</v>
      </c>
      <c r="P453">
        <f>IF(calls[[#This Row],[Call number]]&lt;&gt;"",1,0)</f>
        <v>1</v>
      </c>
      <c r="Q453">
        <f>IF(calls[[#This Row],[Rating rounded]]=5,1,0)</f>
        <v>0</v>
      </c>
    </row>
    <row r="454" spans="2:17" x14ac:dyDescent="0.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c r="M454" s="7" t="str">
        <f>_xlfn.XLOOKUP(calls[[#This Row],[Customer ID]],customers[Customer ID],customers[City])</f>
        <v>Columbus</v>
      </c>
      <c r="N454" s="3" t="str">
        <f>_xlfn.XLOOKUP(calls[[#This Row],[Customer ID]],customers[Customer ID],customers[Gedner])</f>
        <v>Female</v>
      </c>
      <c r="P454">
        <f>IF(calls[[#This Row],[Call number]]&lt;&gt;"",1,0)</f>
        <v>1</v>
      </c>
      <c r="Q454">
        <f>IF(calls[[#This Row],[Rating rounded]]=5,1,0)</f>
        <v>1</v>
      </c>
    </row>
    <row r="455" spans="2:17" x14ac:dyDescent="0.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c r="M455" s="7" t="str">
        <f>_xlfn.XLOOKUP(calls[[#This Row],[Customer ID]],customers[Customer ID],customers[City])</f>
        <v>Cleveland</v>
      </c>
      <c r="N455" s="3" t="str">
        <f>_xlfn.XLOOKUP(calls[[#This Row],[Customer ID]],customers[Customer ID],customers[Gedner])</f>
        <v>Male</v>
      </c>
      <c r="P455">
        <f>IF(calls[[#This Row],[Call number]]&lt;&gt;"",1,0)</f>
        <v>1</v>
      </c>
      <c r="Q455">
        <f>IF(calls[[#This Row],[Rating rounded]]=5,1,0)</f>
        <v>0</v>
      </c>
    </row>
    <row r="456" spans="2:17" x14ac:dyDescent="0.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c r="M456" s="7" t="str">
        <f>_xlfn.XLOOKUP(calls[[#This Row],[Customer ID]],customers[Customer ID],customers[City])</f>
        <v>Cleveland</v>
      </c>
      <c r="N456" s="3" t="str">
        <f>_xlfn.XLOOKUP(calls[[#This Row],[Customer ID]],customers[Customer ID],customers[Gedner])</f>
        <v>Female</v>
      </c>
      <c r="P456">
        <f>IF(calls[[#This Row],[Call number]]&lt;&gt;"",1,0)</f>
        <v>1</v>
      </c>
      <c r="Q456">
        <f>IF(calls[[#This Row],[Rating rounded]]=5,1,0)</f>
        <v>0</v>
      </c>
    </row>
    <row r="457" spans="2:17" x14ac:dyDescent="0.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c r="M457" s="7" t="str">
        <f>_xlfn.XLOOKUP(calls[[#This Row],[Customer ID]],customers[Customer ID],customers[City])</f>
        <v>Cleveland</v>
      </c>
      <c r="N457" s="3" t="str">
        <f>_xlfn.XLOOKUP(calls[[#This Row],[Customer ID]],customers[Customer ID],customers[Gedner])</f>
        <v>Male</v>
      </c>
      <c r="P457">
        <f>IF(calls[[#This Row],[Call number]]&lt;&gt;"",1,0)</f>
        <v>1</v>
      </c>
      <c r="Q457">
        <f>IF(calls[[#This Row],[Rating rounded]]=5,1,0)</f>
        <v>0</v>
      </c>
    </row>
    <row r="458" spans="2:17" x14ac:dyDescent="0.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c r="M458" s="7" t="str">
        <f>_xlfn.XLOOKUP(calls[[#This Row],[Customer ID]],customers[Customer ID],customers[City])</f>
        <v>Cleveland</v>
      </c>
      <c r="N458" s="3" t="str">
        <f>_xlfn.XLOOKUP(calls[[#This Row],[Customer ID]],customers[Customer ID],customers[Gedner])</f>
        <v>Female</v>
      </c>
      <c r="P458">
        <f>IF(calls[[#This Row],[Call number]]&lt;&gt;"",1,0)</f>
        <v>1</v>
      </c>
      <c r="Q458">
        <f>IF(calls[[#This Row],[Rating rounded]]=5,1,0)</f>
        <v>1</v>
      </c>
    </row>
    <row r="459" spans="2:17" x14ac:dyDescent="0.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c r="M459" s="7" t="str">
        <f>_xlfn.XLOOKUP(calls[[#This Row],[Customer ID]],customers[Customer ID],customers[City])</f>
        <v>Cincinnati</v>
      </c>
      <c r="N459" s="3" t="str">
        <f>_xlfn.XLOOKUP(calls[[#This Row],[Customer ID]],customers[Customer ID],customers[Gedner])</f>
        <v>Male</v>
      </c>
      <c r="P459">
        <f>IF(calls[[#This Row],[Call number]]&lt;&gt;"",1,0)</f>
        <v>1</v>
      </c>
      <c r="Q459">
        <f>IF(calls[[#This Row],[Rating rounded]]=5,1,0)</f>
        <v>1</v>
      </c>
    </row>
    <row r="460" spans="2:17" x14ac:dyDescent="0.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c r="M460" s="7" t="str">
        <f>_xlfn.XLOOKUP(calls[[#This Row],[Customer ID]],customers[Customer ID],customers[City])</f>
        <v>Cincinnati</v>
      </c>
      <c r="N460" s="3" t="str">
        <f>_xlfn.XLOOKUP(calls[[#This Row],[Customer ID]],customers[Customer ID],customers[Gedner])</f>
        <v>Male</v>
      </c>
      <c r="P460">
        <f>IF(calls[[#This Row],[Call number]]&lt;&gt;"",1,0)</f>
        <v>1</v>
      </c>
      <c r="Q460">
        <f>IF(calls[[#This Row],[Rating rounded]]=5,1,0)</f>
        <v>1</v>
      </c>
    </row>
    <row r="461" spans="2:17" x14ac:dyDescent="0.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c r="M461" s="7" t="str">
        <f>_xlfn.XLOOKUP(calls[[#This Row],[Customer ID]],customers[Customer ID],customers[City])</f>
        <v>Cincinnati</v>
      </c>
      <c r="N461" s="3" t="str">
        <f>_xlfn.XLOOKUP(calls[[#This Row],[Customer ID]],customers[Customer ID],customers[Gedner])</f>
        <v>Male</v>
      </c>
      <c r="P461">
        <f>IF(calls[[#This Row],[Call number]]&lt;&gt;"",1,0)</f>
        <v>1</v>
      </c>
      <c r="Q461">
        <f>IF(calls[[#This Row],[Rating rounded]]=5,1,0)</f>
        <v>1</v>
      </c>
    </row>
    <row r="462" spans="2:17" x14ac:dyDescent="0.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c r="M462" s="7" t="str">
        <f>_xlfn.XLOOKUP(calls[[#This Row],[Customer ID]],customers[Customer ID],customers[City])</f>
        <v>Cleveland</v>
      </c>
      <c r="N462" s="3" t="str">
        <f>_xlfn.XLOOKUP(calls[[#This Row],[Customer ID]],customers[Customer ID],customers[Gedner])</f>
        <v>Female</v>
      </c>
      <c r="P462">
        <f>IF(calls[[#This Row],[Call number]]&lt;&gt;"",1,0)</f>
        <v>1</v>
      </c>
      <c r="Q462">
        <f>IF(calls[[#This Row],[Rating rounded]]=5,1,0)</f>
        <v>0</v>
      </c>
    </row>
    <row r="463" spans="2:17" x14ac:dyDescent="0.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c r="M463" s="7" t="str">
        <f>_xlfn.XLOOKUP(calls[[#This Row],[Customer ID]],customers[Customer ID],customers[City])</f>
        <v>Columbus</v>
      </c>
      <c r="N463" s="3" t="str">
        <f>_xlfn.XLOOKUP(calls[[#This Row],[Customer ID]],customers[Customer ID],customers[Gedner])</f>
        <v>Female</v>
      </c>
      <c r="P463">
        <f>IF(calls[[#This Row],[Call number]]&lt;&gt;"",1,0)</f>
        <v>1</v>
      </c>
      <c r="Q463">
        <f>IF(calls[[#This Row],[Rating rounded]]=5,1,0)</f>
        <v>0</v>
      </c>
    </row>
    <row r="464" spans="2:17" x14ac:dyDescent="0.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c r="M464" s="7" t="str">
        <f>_xlfn.XLOOKUP(calls[[#This Row],[Customer ID]],customers[Customer ID],customers[City])</f>
        <v>Cincinnati</v>
      </c>
      <c r="N464" s="3" t="str">
        <f>_xlfn.XLOOKUP(calls[[#This Row],[Customer ID]],customers[Customer ID],customers[Gedner])</f>
        <v>Female</v>
      </c>
      <c r="P464">
        <f>IF(calls[[#This Row],[Call number]]&lt;&gt;"",1,0)</f>
        <v>1</v>
      </c>
      <c r="Q464">
        <f>IF(calls[[#This Row],[Rating rounded]]=5,1,0)</f>
        <v>0</v>
      </c>
    </row>
    <row r="465" spans="2:17" x14ac:dyDescent="0.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c r="M465" s="7" t="str">
        <f>_xlfn.XLOOKUP(calls[[#This Row],[Customer ID]],customers[Customer ID],customers[City])</f>
        <v>Columbus</v>
      </c>
      <c r="N465" s="3" t="str">
        <f>_xlfn.XLOOKUP(calls[[#This Row],[Customer ID]],customers[Customer ID],customers[Gedner])</f>
        <v>Male</v>
      </c>
      <c r="P465">
        <f>IF(calls[[#This Row],[Call number]]&lt;&gt;"",1,0)</f>
        <v>1</v>
      </c>
      <c r="Q465">
        <f>IF(calls[[#This Row],[Rating rounded]]=5,1,0)</f>
        <v>1</v>
      </c>
    </row>
    <row r="466" spans="2:17" x14ac:dyDescent="0.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c r="M466" s="7" t="str">
        <f>_xlfn.XLOOKUP(calls[[#This Row],[Customer ID]],customers[Customer ID],customers[City])</f>
        <v>Cleveland</v>
      </c>
      <c r="N466" s="3" t="str">
        <f>_xlfn.XLOOKUP(calls[[#This Row],[Customer ID]],customers[Customer ID],customers[Gedner])</f>
        <v>Female</v>
      </c>
      <c r="P466">
        <f>IF(calls[[#This Row],[Call number]]&lt;&gt;"",1,0)</f>
        <v>1</v>
      </c>
      <c r="Q466">
        <f>IF(calls[[#This Row],[Rating rounded]]=5,1,0)</f>
        <v>1</v>
      </c>
    </row>
    <row r="467" spans="2:17" x14ac:dyDescent="0.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c r="M467" s="7" t="str">
        <f>_xlfn.XLOOKUP(calls[[#This Row],[Customer ID]],customers[Customer ID],customers[City])</f>
        <v>Cleveland</v>
      </c>
      <c r="N467" s="3" t="str">
        <f>_xlfn.XLOOKUP(calls[[#This Row],[Customer ID]],customers[Customer ID],customers[Gedner])</f>
        <v>Female</v>
      </c>
      <c r="P467">
        <f>IF(calls[[#This Row],[Call number]]&lt;&gt;"",1,0)</f>
        <v>1</v>
      </c>
      <c r="Q467">
        <f>IF(calls[[#This Row],[Rating rounded]]=5,1,0)</f>
        <v>0</v>
      </c>
    </row>
    <row r="468" spans="2:17" x14ac:dyDescent="0.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c r="M468" s="7" t="str">
        <f>_xlfn.XLOOKUP(calls[[#This Row],[Customer ID]],customers[Customer ID],customers[City])</f>
        <v>Columbus</v>
      </c>
      <c r="N468" s="3" t="str">
        <f>_xlfn.XLOOKUP(calls[[#This Row],[Customer ID]],customers[Customer ID],customers[Gedner])</f>
        <v>Male</v>
      </c>
      <c r="P468">
        <f>IF(calls[[#This Row],[Call number]]&lt;&gt;"",1,0)</f>
        <v>1</v>
      </c>
      <c r="Q468">
        <f>IF(calls[[#This Row],[Rating rounded]]=5,1,0)</f>
        <v>0</v>
      </c>
    </row>
    <row r="469" spans="2:17" x14ac:dyDescent="0.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c r="M469" s="7" t="str">
        <f>_xlfn.XLOOKUP(calls[[#This Row],[Customer ID]],customers[Customer ID],customers[City])</f>
        <v>Cleveland</v>
      </c>
      <c r="N469" s="3" t="str">
        <f>_xlfn.XLOOKUP(calls[[#This Row],[Customer ID]],customers[Customer ID],customers[Gedner])</f>
        <v>Female</v>
      </c>
      <c r="P469">
        <f>IF(calls[[#This Row],[Call number]]&lt;&gt;"",1,0)</f>
        <v>1</v>
      </c>
      <c r="Q469">
        <f>IF(calls[[#This Row],[Rating rounded]]=5,1,0)</f>
        <v>1</v>
      </c>
    </row>
    <row r="470" spans="2:17" x14ac:dyDescent="0.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c r="M470" s="7" t="str">
        <f>_xlfn.XLOOKUP(calls[[#This Row],[Customer ID]],customers[Customer ID],customers[City])</f>
        <v>Cincinnati</v>
      </c>
      <c r="N470" s="3" t="str">
        <f>_xlfn.XLOOKUP(calls[[#This Row],[Customer ID]],customers[Customer ID],customers[Gedner])</f>
        <v>Female</v>
      </c>
      <c r="P470">
        <f>IF(calls[[#This Row],[Call number]]&lt;&gt;"",1,0)</f>
        <v>1</v>
      </c>
      <c r="Q470">
        <f>IF(calls[[#This Row],[Rating rounded]]=5,1,0)</f>
        <v>1</v>
      </c>
    </row>
    <row r="471" spans="2:17" x14ac:dyDescent="0.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c r="M471" s="7" t="str">
        <f>_xlfn.XLOOKUP(calls[[#This Row],[Customer ID]],customers[Customer ID],customers[City])</f>
        <v>Cleveland</v>
      </c>
      <c r="N471" s="3" t="str">
        <f>_xlfn.XLOOKUP(calls[[#This Row],[Customer ID]],customers[Customer ID],customers[Gedner])</f>
        <v>Female</v>
      </c>
      <c r="P471">
        <f>IF(calls[[#This Row],[Call number]]&lt;&gt;"",1,0)</f>
        <v>1</v>
      </c>
      <c r="Q471">
        <f>IF(calls[[#This Row],[Rating rounded]]=5,1,0)</f>
        <v>0</v>
      </c>
    </row>
    <row r="472" spans="2:17" x14ac:dyDescent="0.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c r="M472" s="7" t="str">
        <f>_xlfn.XLOOKUP(calls[[#This Row],[Customer ID]],customers[Customer ID],customers[City])</f>
        <v>Columbus</v>
      </c>
      <c r="N472" s="3" t="str">
        <f>_xlfn.XLOOKUP(calls[[#This Row],[Customer ID]],customers[Customer ID],customers[Gedner])</f>
        <v>Male</v>
      </c>
      <c r="P472">
        <f>IF(calls[[#This Row],[Call number]]&lt;&gt;"",1,0)</f>
        <v>1</v>
      </c>
      <c r="Q472">
        <f>IF(calls[[#This Row],[Rating rounded]]=5,1,0)</f>
        <v>0</v>
      </c>
    </row>
    <row r="473" spans="2:17" x14ac:dyDescent="0.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c r="M473" s="7" t="str">
        <f>_xlfn.XLOOKUP(calls[[#This Row],[Customer ID]],customers[Customer ID],customers[City])</f>
        <v>Columbus</v>
      </c>
      <c r="N473" s="3" t="str">
        <f>_xlfn.XLOOKUP(calls[[#This Row],[Customer ID]],customers[Customer ID],customers[Gedner])</f>
        <v>Male</v>
      </c>
      <c r="P473">
        <f>IF(calls[[#This Row],[Call number]]&lt;&gt;"",1,0)</f>
        <v>1</v>
      </c>
      <c r="Q473">
        <f>IF(calls[[#This Row],[Rating rounded]]=5,1,0)</f>
        <v>0</v>
      </c>
    </row>
    <row r="474" spans="2:17" x14ac:dyDescent="0.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c r="M474" s="7" t="str">
        <f>_xlfn.XLOOKUP(calls[[#This Row],[Customer ID]],customers[Customer ID],customers[City])</f>
        <v>Cleveland</v>
      </c>
      <c r="N474" s="3" t="str">
        <f>_xlfn.XLOOKUP(calls[[#This Row],[Customer ID]],customers[Customer ID],customers[Gedner])</f>
        <v>Female</v>
      </c>
      <c r="P474">
        <f>IF(calls[[#This Row],[Call number]]&lt;&gt;"",1,0)</f>
        <v>1</v>
      </c>
      <c r="Q474">
        <f>IF(calls[[#This Row],[Rating rounded]]=5,1,0)</f>
        <v>1</v>
      </c>
    </row>
    <row r="475" spans="2:17" x14ac:dyDescent="0.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c r="M475" s="7" t="str">
        <f>_xlfn.XLOOKUP(calls[[#This Row],[Customer ID]],customers[Customer ID],customers[City])</f>
        <v>Cincinnati</v>
      </c>
      <c r="N475" s="3" t="str">
        <f>_xlfn.XLOOKUP(calls[[#This Row],[Customer ID]],customers[Customer ID],customers[Gedner])</f>
        <v>Male</v>
      </c>
      <c r="P475">
        <f>IF(calls[[#This Row],[Call number]]&lt;&gt;"",1,0)</f>
        <v>1</v>
      </c>
      <c r="Q475">
        <f>IF(calls[[#This Row],[Rating rounded]]=5,1,0)</f>
        <v>0</v>
      </c>
    </row>
    <row r="476" spans="2:17" x14ac:dyDescent="0.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c r="M476" s="7" t="str">
        <f>_xlfn.XLOOKUP(calls[[#This Row],[Customer ID]],customers[Customer ID],customers[City])</f>
        <v>Cleveland</v>
      </c>
      <c r="N476" s="3" t="str">
        <f>_xlfn.XLOOKUP(calls[[#This Row],[Customer ID]],customers[Customer ID],customers[Gedner])</f>
        <v>Female</v>
      </c>
      <c r="P476">
        <f>IF(calls[[#This Row],[Call number]]&lt;&gt;"",1,0)</f>
        <v>1</v>
      </c>
      <c r="Q476">
        <f>IF(calls[[#This Row],[Rating rounded]]=5,1,0)</f>
        <v>0</v>
      </c>
    </row>
    <row r="477" spans="2:17" x14ac:dyDescent="0.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c r="M477" s="7" t="str">
        <f>_xlfn.XLOOKUP(calls[[#This Row],[Customer ID]],customers[Customer ID],customers[City])</f>
        <v>Columbus</v>
      </c>
      <c r="N477" s="3" t="str">
        <f>_xlfn.XLOOKUP(calls[[#This Row],[Customer ID]],customers[Customer ID],customers[Gedner])</f>
        <v>Male</v>
      </c>
      <c r="P477">
        <f>IF(calls[[#This Row],[Call number]]&lt;&gt;"",1,0)</f>
        <v>1</v>
      </c>
      <c r="Q477">
        <f>IF(calls[[#This Row],[Rating rounded]]=5,1,0)</f>
        <v>0</v>
      </c>
    </row>
    <row r="478" spans="2:17" x14ac:dyDescent="0.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c r="M478" s="7" t="str">
        <f>_xlfn.XLOOKUP(calls[[#This Row],[Customer ID]],customers[Customer ID],customers[City])</f>
        <v>Columbus</v>
      </c>
      <c r="N478" s="3" t="str">
        <f>_xlfn.XLOOKUP(calls[[#This Row],[Customer ID]],customers[Customer ID],customers[Gedner])</f>
        <v>Male</v>
      </c>
      <c r="P478">
        <f>IF(calls[[#This Row],[Call number]]&lt;&gt;"",1,0)</f>
        <v>1</v>
      </c>
      <c r="Q478">
        <f>IF(calls[[#This Row],[Rating rounded]]=5,1,0)</f>
        <v>1</v>
      </c>
    </row>
    <row r="479" spans="2:17" x14ac:dyDescent="0.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c r="M479" s="7" t="str">
        <f>_xlfn.XLOOKUP(calls[[#This Row],[Customer ID]],customers[Customer ID],customers[City])</f>
        <v>Cleveland</v>
      </c>
      <c r="N479" s="3" t="str">
        <f>_xlfn.XLOOKUP(calls[[#This Row],[Customer ID]],customers[Customer ID],customers[Gedner])</f>
        <v>Female</v>
      </c>
      <c r="P479">
        <f>IF(calls[[#This Row],[Call number]]&lt;&gt;"",1,0)</f>
        <v>1</v>
      </c>
      <c r="Q479">
        <f>IF(calls[[#This Row],[Rating rounded]]=5,1,0)</f>
        <v>0</v>
      </c>
    </row>
    <row r="480" spans="2:17" x14ac:dyDescent="0.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c r="M480" s="7" t="str">
        <f>_xlfn.XLOOKUP(calls[[#This Row],[Customer ID]],customers[Customer ID],customers[City])</f>
        <v>Cleveland</v>
      </c>
      <c r="N480" s="3" t="str">
        <f>_xlfn.XLOOKUP(calls[[#This Row],[Customer ID]],customers[Customer ID],customers[Gedner])</f>
        <v>Male</v>
      </c>
      <c r="P480">
        <f>IF(calls[[#This Row],[Call number]]&lt;&gt;"",1,0)</f>
        <v>1</v>
      </c>
      <c r="Q480">
        <f>IF(calls[[#This Row],[Rating rounded]]=5,1,0)</f>
        <v>1</v>
      </c>
    </row>
    <row r="481" spans="2:17" x14ac:dyDescent="0.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c r="M481" s="7" t="str">
        <f>_xlfn.XLOOKUP(calls[[#This Row],[Customer ID]],customers[Customer ID],customers[City])</f>
        <v>Columbus</v>
      </c>
      <c r="N481" s="3" t="str">
        <f>_xlfn.XLOOKUP(calls[[#This Row],[Customer ID]],customers[Customer ID],customers[Gedner])</f>
        <v>Male</v>
      </c>
      <c r="P481">
        <f>IF(calls[[#This Row],[Call number]]&lt;&gt;"",1,0)</f>
        <v>1</v>
      </c>
      <c r="Q481">
        <f>IF(calls[[#This Row],[Rating rounded]]=5,1,0)</f>
        <v>0</v>
      </c>
    </row>
    <row r="482" spans="2:17" x14ac:dyDescent="0.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c r="M482" s="7" t="str">
        <f>_xlfn.XLOOKUP(calls[[#This Row],[Customer ID]],customers[Customer ID],customers[City])</f>
        <v>Cleveland</v>
      </c>
      <c r="N482" s="3" t="str">
        <f>_xlfn.XLOOKUP(calls[[#This Row],[Customer ID]],customers[Customer ID],customers[Gedner])</f>
        <v>Female</v>
      </c>
      <c r="P482">
        <f>IF(calls[[#This Row],[Call number]]&lt;&gt;"",1,0)</f>
        <v>1</v>
      </c>
      <c r="Q482">
        <f>IF(calls[[#This Row],[Rating rounded]]=5,1,0)</f>
        <v>0</v>
      </c>
    </row>
    <row r="483" spans="2:17" x14ac:dyDescent="0.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c r="M483" s="7" t="str">
        <f>_xlfn.XLOOKUP(calls[[#This Row],[Customer ID]],customers[Customer ID],customers[City])</f>
        <v>Columbus</v>
      </c>
      <c r="N483" s="3" t="str">
        <f>_xlfn.XLOOKUP(calls[[#This Row],[Customer ID]],customers[Customer ID],customers[Gedner])</f>
        <v>Female</v>
      </c>
      <c r="P483">
        <f>IF(calls[[#This Row],[Call number]]&lt;&gt;"",1,0)</f>
        <v>1</v>
      </c>
      <c r="Q483">
        <f>IF(calls[[#This Row],[Rating rounded]]=5,1,0)</f>
        <v>0</v>
      </c>
    </row>
    <row r="484" spans="2:17" x14ac:dyDescent="0.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c r="M484" s="7" t="str">
        <f>_xlfn.XLOOKUP(calls[[#This Row],[Customer ID]],customers[Customer ID],customers[City])</f>
        <v>Cincinnati</v>
      </c>
      <c r="N484" s="3" t="str">
        <f>_xlfn.XLOOKUP(calls[[#This Row],[Customer ID]],customers[Customer ID],customers[Gedner])</f>
        <v>Male</v>
      </c>
      <c r="P484">
        <f>IF(calls[[#This Row],[Call number]]&lt;&gt;"",1,0)</f>
        <v>1</v>
      </c>
      <c r="Q484">
        <f>IF(calls[[#This Row],[Rating rounded]]=5,1,0)</f>
        <v>1</v>
      </c>
    </row>
    <row r="485" spans="2:17" x14ac:dyDescent="0.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c r="M485" s="7" t="str">
        <f>_xlfn.XLOOKUP(calls[[#This Row],[Customer ID]],customers[Customer ID],customers[City])</f>
        <v>Cincinnati</v>
      </c>
      <c r="N485" s="3" t="str">
        <f>_xlfn.XLOOKUP(calls[[#This Row],[Customer ID]],customers[Customer ID],customers[Gedner])</f>
        <v>Female</v>
      </c>
      <c r="P485">
        <f>IF(calls[[#This Row],[Call number]]&lt;&gt;"",1,0)</f>
        <v>1</v>
      </c>
      <c r="Q485">
        <f>IF(calls[[#This Row],[Rating rounded]]=5,1,0)</f>
        <v>1</v>
      </c>
    </row>
    <row r="486" spans="2:17" x14ac:dyDescent="0.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c r="M486" s="7" t="str">
        <f>_xlfn.XLOOKUP(calls[[#This Row],[Customer ID]],customers[Customer ID],customers[City])</f>
        <v>Cincinnati</v>
      </c>
      <c r="N486" s="3" t="str">
        <f>_xlfn.XLOOKUP(calls[[#This Row],[Customer ID]],customers[Customer ID],customers[Gedner])</f>
        <v>Female</v>
      </c>
      <c r="P486">
        <f>IF(calls[[#This Row],[Call number]]&lt;&gt;"",1,0)</f>
        <v>1</v>
      </c>
      <c r="Q486">
        <f>IF(calls[[#This Row],[Rating rounded]]=5,1,0)</f>
        <v>0</v>
      </c>
    </row>
    <row r="487" spans="2:17" x14ac:dyDescent="0.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c r="M487" s="7" t="str">
        <f>_xlfn.XLOOKUP(calls[[#This Row],[Customer ID]],customers[Customer ID],customers[City])</f>
        <v>Cincinnati</v>
      </c>
      <c r="N487" s="3" t="str">
        <f>_xlfn.XLOOKUP(calls[[#This Row],[Customer ID]],customers[Customer ID],customers[Gedner])</f>
        <v>Female</v>
      </c>
      <c r="P487">
        <f>IF(calls[[#This Row],[Call number]]&lt;&gt;"",1,0)</f>
        <v>1</v>
      </c>
      <c r="Q487">
        <f>IF(calls[[#This Row],[Rating rounded]]=5,1,0)</f>
        <v>1</v>
      </c>
    </row>
    <row r="488" spans="2:17" x14ac:dyDescent="0.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c r="M488" s="7" t="str">
        <f>_xlfn.XLOOKUP(calls[[#This Row],[Customer ID]],customers[Customer ID],customers[City])</f>
        <v>Cleveland</v>
      </c>
      <c r="N488" s="3" t="str">
        <f>_xlfn.XLOOKUP(calls[[#This Row],[Customer ID]],customers[Customer ID],customers[Gedner])</f>
        <v>Male</v>
      </c>
      <c r="P488">
        <f>IF(calls[[#This Row],[Call number]]&lt;&gt;"",1,0)</f>
        <v>1</v>
      </c>
      <c r="Q488">
        <f>IF(calls[[#This Row],[Rating rounded]]=5,1,0)</f>
        <v>1</v>
      </c>
    </row>
    <row r="489" spans="2:17" x14ac:dyDescent="0.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c r="M489" s="7" t="str">
        <f>_xlfn.XLOOKUP(calls[[#This Row],[Customer ID]],customers[Customer ID],customers[City])</f>
        <v>Cleveland</v>
      </c>
      <c r="N489" s="3" t="str">
        <f>_xlfn.XLOOKUP(calls[[#This Row],[Customer ID]],customers[Customer ID],customers[Gedner])</f>
        <v>Female</v>
      </c>
      <c r="P489">
        <f>IF(calls[[#This Row],[Call number]]&lt;&gt;"",1,0)</f>
        <v>1</v>
      </c>
      <c r="Q489">
        <f>IF(calls[[#This Row],[Rating rounded]]=5,1,0)</f>
        <v>0</v>
      </c>
    </row>
    <row r="490" spans="2:17" x14ac:dyDescent="0.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c r="M490" s="7" t="str">
        <f>_xlfn.XLOOKUP(calls[[#This Row],[Customer ID]],customers[Customer ID],customers[City])</f>
        <v>Cincinnati</v>
      </c>
      <c r="N490" s="3" t="str">
        <f>_xlfn.XLOOKUP(calls[[#This Row],[Customer ID]],customers[Customer ID],customers[Gedner])</f>
        <v>Female</v>
      </c>
      <c r="P490">
        <f>IF(calls[[#This Row],[Call number]]&lt;&gt;"",1,0)</f>
        <v>1</v>
      </c>
      <c r="Q490">
        <f>IF(calls[[#This Row],[Rating rounded]]=5,1,0)</f>
        <v>0</v>
      </c>
    </row>
    <row r="491" spans="2:17" x14ac:dyDescent="0.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c r="M491" s="7" t="str">
        <f>_xlfn.XLOOKUP(calls[[#This Row],[Customer ID]],customers[Customer ID],customers[City])</f>
        <v>Cincinnati</v>
      </c>
      <c r="N491" s="3" t="str">
        <f>_xlfn.XLOOKUP(calls[[#This Row],[Customer ID]],customers[Customer ID],customers[Gedner])</f>
        <v>Female</v>
      </c>
      <c r="P491">
        <f>IF(calls[[#This Row],[Call number]]&lt;&gt;"",1,0)</f>
        <v>1</v>
      </c>
      <c r="Q491">
        <f>IF(calls[[#This Row],[Rating rounded]]=5,1,0)</f>
        <v>1</v>
      </c>
    </row>
    <row r="492" spans="2:17" x14ac:dyDescent="0.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c r="M492" s="7" t="str">
        <f>_xlfn.XLOOKUP(calls[[#This Row],[Customer ID]],customers[Customer ID],customers[City])</f>
        <v>Columbus</v>
      </c>
      <c r="N492" s="3" t="str">
        <f>_xlfn.XLOOKUP(calls[[#This Row],[Customer ID]],customers[Customer ID],customers[Gedner])</f>
        <v>Female</v>
      </c>
      <c r="P492">
        <f>IF(calls[[#This Row],[Call number]]&lt;&gt;"",1,0)</f>
        <v>1</v>
      </c>
      <c r="Q492">
        <f>IF(calls[[#This Row],[Rating rounded]]=5,1,0)</f>
        <v>0</v>
      </c>
    </row>
    <row r="493" spans="2:17" x14ac:dyDescent="0.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c r="M493" s="7" t="str">
        <f>_xlfn.XLOOKUP(calls[[#This Row],[Customer ID]],customers[Customer ID],customers[City])</f>
        <v>Cincinnati</v>
      </c>
      <c r="N493" s="3" t="str">
        <f>_xlfn.XLOOKUP(calls[[#This Row],[Customer ID]],customers[Customer ID],customers[Gedner])</f>
        <v>Male</v>
      </c>
      <c r="P493">
        <f>IF(calls[[#This Row],[Call number]]&lt;&gt;"",1,0)</f>
        <v>1</v>
      </c>
      <c r="Q493">
        <f>IF(calls[[#This Row],[Rating rounded]]=5,1,0)</f>
        <v>1</v>
      </c>
    </row>
    <row r="494" spans="2:17" x14ac:dyDescent="0.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c r="M494" s="7" t="str">
        <f>_xlfn.XLOOKUP(calls[[#This Row],[Customer ID]],customers[Customer ID],customers[City])</f>
        <v>Cleveland</v>
      </c>
      <c r="N494" s="3" t="str">
        <f>_xlfn.XLOOKUP(calls[[#This Row],[Customer ID]],customers[Customer ID],customers[Gedner])</f>
        <v>Female</v>
      </c>
      <c r="P494">
        <f>IF(calls[[#This Row],[Call number]]&lt;&gt;"",1,0)</f>
        <v>1</v>
      </c>
      <c r="Q494">
        <f>IF(calls[[#This Row],[Rating rounded]]=5,1,0)</f>
        <v>0</v>
      </c>
    </row>
    <row r="495" spans="2:17" x14ac:dyDescent="0.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c r="M495" s="7" t="str">
        <f>_xlfn.XLOOKUP(calls[[#This Row],[Customer ID]],customers[Customer ID],customers[City])</f>
        <v>Cleveland</v>
      </c>
      <c r="N495" s="3" t="str">
        <f>_xlfn.XLOOKUP(calls[[#This Row],[Customer ID]],customers[Customer ID],customers[Gedner])</f>
        <v>Female</v>
      </c>
      <c r="P495">
        <f>IF(calls[[#This Row],[Call number]]&lt;&gt;"",1,0)</f>
        <v>1</v>
      </c>
      <c r="Q495">
        <f>IF(calls[[#This Row],[Rating rounded]]=5,1,0)</f>
        <v>0</v>
      </c>
    </row>
    <row r="496" spans="2:17" x14ac:dyDescent="0.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c r="M496" s="7" t="str">
        <f>_xlfn.XLOOKUP(calls[[#This Row],[Customer ID]],customers[Customer ID],customers[City])</f>
        <v>Columbus</v>
      </c>
      <c r="N496" s="3" t="str">
        <f>_xlfn.XLOOKUP(calls[[#This Row],[Customer ID]],customers[Customer ID],customers[Gedner])</f>
        <v>Male</v>
      </c>
      <c r="P496">
        <f>IF(calls[[#This Row],[Call number]]&lt;&gt;"",1,0)</f>
        <v>1</v>
      </c>
      <c r="Q496">
        <f>IF(calls[[#This Row],[Rating rounded]]=5,1,0)</f>
        <v>0</v>
      </c>
    </row>
    <row r="497" spans="2:17" x14ac:dyDescent="0.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c r="M497" s="7" t="str">
        <f>_xlfn.XLOOKUP(calls[[#This Row],[Customer ID]],customers[Customer ID],customers[City])</f>
        <v>Columbus</v>
      </c>
      <c r="N497" s="3" t="str">
        <f>_xlfn.XLOOKUP(calls[[#This Row],[Customer ID]],customers[Customer ID],customers[Gedner])</f>
        <v>Male</v>
      </c>
      <c r="P497">
        <f>IF(calls[[#This Row],[Call number]]&lt;&gt;"",1,0)</f>
        <v>1</v>
      </c>
      <c r="Q497">
        <f>IF(calls[[#This Row],[Rating rounded]]=5,1,0)</f>
        <v>0</v>
      </c>
    </row>
    <row r="498" spans="2:17" x14ac:dyDescent="0.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c r="M498" s="7" t="str">
        <f>_xlfn.XLOOKUP(calls[[#This Row],[Customer ID]],customers[Customer ID],customers[City])</f>
        <v>Cleveland</v>
      </c>
      <c r="N498" s="3" t="str">
        <f>_xlfn.XLOOKUP(calls[[#This Row],[Customer ID]],customers[Customer ID],customers[Gedner])</f>
        <v>Female</v>
      </c>
      <c r="P498">
        <f>IF(calls[[#This Row],[Call number]]&lt;&gt;"",1,0)</f>
        <v>1</v>
      </c>
      <c r="Q498">
        <f>IF(calls[[#This Row],[Rating rounded]]=5,1,0)</f>
        <v>0</v>
      </c>
    </row>
    <row r="499" spans="2:17" x14ac:dyDescent="0.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c r="M499" s="7" t="str">
        <f>_xlfn.XLOOKUP(calls[[#This Row],[Customer ID]],customers[Customer ID],customers[City])</f>
        <v>Cincinnati</v>
      </c>
      <c r="N499" s="3" t="str">
        <f>_xlfn.XLOOKUP(calls[[#This Row],[Customer ID]],customers[Customer ID],customers[Gedner])</f>
        <v>Female</v>
      </c>
      <c r="P499">
        <f>IF(calls[[#This Row],[Call number]]&lt;&gt;"",1,0)</f>
        <v>1</v>
      </c>
      <c r="Q499">
        <f>IF(calls[[#This Row],[Rating rounded]]=5,1,0)</f>
        <v>0</v>
      </c>
    </row>
    <row r="500" spans="2:17" x14ac:dyDescent="0.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c r="M500" s="7" t="str">
        <f>_xlfn.XLOOKUP(calls[[#This Row],[Customer ID]],customers[Customer ID],customers[City])</f>
        <v>Cleveland</v>
      </c>
      <c r="N500" s="3" t="str">
        <f>_xlfn.XLOOKUP(calls[[#This Row],[Customer ID]],customers[Customer ID],customers[Gedner])</f>
        <v>Female</v>
      </c>
      <c r="P500">
        <f>IF(calls[[#This Row],[Call number]]&lt;&gt;"",1,0)</f>
        <v>1</v>
      </c>
      <c r="Q500">
        <f>IF(calls[[#This Row],[Rating rounded]]=5,1,0)</f>
        <v>0</v>
      </c>
    </row>
    <row r="501" spans="2:17" x14ac:dyDescent="0.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c r="M501" s="7" t="str">
        <f>_xlfn.XLOOKUP(calls[[#This Row],[Customer ID]],customers[Customer ID],customers[City])</f>
        <v>Cleveland</v>
      </c>
      <c r="N501" s="3" t="str">
        <f>_xlfn.XLOOKUP(calls[[#This Row],[Customer ID]],customers[Customer ID],customers[Gedner])</f>
        <v>Female</v>
      </c>
      <c r="P501">
        <f>IF(calls[[#This Row],[Call number]]&lt;&gt;"",1,0)</f>
        <v>1</v>
      </c>
      <c r="Q501">
        <f>IF(calls[[#This Row],[Rating rounded]]=5,1,0)</f>
        <v>0</v>
      </c>
    </row>
    <row r="502" spans="2:17" x14ac:dyDescent="0.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c r="M502" s="7" t="str">
        <f>_xlfn.XLOOKUP(calls[[#This Row],[Customer ID]],customers[Customer ID],customers[City])</f>
        <v>Columbus</v>
      </c>
      <c r="N502" s="3" t="str">
        <f>_xlfn.XLOOKUP(calls[[#This Row],[Customer ID]],customers[Customer ID],customers[Gedner])</f>
        <v>Female</v>
      </c>
      <c r="P502">
        <f>IF(calls[[#This Row],[Call number]]&lt;&gt;"",1,0)</f>
        <v>1</v>
      </c>
      <c r="Q502">
        <f>IF(calls[[#This Row],[Rating rounded]]=5,1,0)</f>
        <v>1</v>
      </c>
    </row>
    <row r="503" spans="2:17" x14ac:dyDescent="0.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c r="M503" s="7" t="str">
        <f>_xlfn.XLOOKUP(calls[[#This Row],[Customer ID]],customers[Customer ID],customers[City])</f>
        <v>Columbus</v>
      </c>
      <c r="N503" s="3" t="str">
        <f>_xlfn.XLOOKUP(calls[[#This Row],[Customer ID]],customers[Customer ID],customers[Gedner])</f>
        <v>Female</v>
      </c>
      <c r="P503">
        <f>IF(calls[[#This Row],[Call number]]&lt;&gt;"",1,0)</f>
        <v>1</v>
      </c>
      <c r="Q503">
        <f>IF(calls[[#This Row],[Rating rounded]]=5,1,0)</f>
        <v>0</v>
      </c>
    </row>
    <row r="504" spans="2:17" x14ac:dyDescent="0.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c r="M504" s="7" t="str">
        <f>_xlfn.XLOOKUP(calls[[#This Row],[Customer ID]],customers[Customer ID],customers[City])</f>
        <v>Columbus</v>
      </c>
      <c r="N504" s="3" t="str">
        <f>_xlfn.XLOOKUP(calls[[#This Row],[Customer ID]],customers[Customer ID],customers[Gedner])</f>
        <v>Male</v>
      </c>
      <c r="P504">
        <f>IF(calls[[#This Row],[Call number]]&lt;&gt;"",1,0)</f>
        <v>1</v>
      </c>
      <c r="Q504">
        <f>IF(calls[[#This Row],[Rating rounded]]=5,1,0)</f>
        <v>0</v>
      </c>
    </row>
    <row r="505" spans="2:17" x14ac:dyDescent="0.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c r="M505" s="7" t="str">
        <f>_xlfn.XLOOKUP(calls[[#This Row],[Customer ID]],customers[Customer ID],customers[City])</f>
        <v>Cleveland</v>
      </c>
      <c r="N505" s="3" t="str">
        <f>_xlfn.XLOOKUP(calls[[#This Row],[Customer ID]],customers[Customer ID],customers[Gedner])</f>
        <v>Male</v>
      </c>
      <c r="P505">
        <f>IF(calls[[#This Row],[Call number]]&lt;&gt;"",1,0)</f>
        <v>1</v>
      </c>
      <c r="Q505">
        <f>IF(calls[[#This Row],[Rating rounded]]=5,1,0)</f>
        <v>0</v>
      </c>
    </row>
    <row r="506" spans="2:17" x14ac:dyDescent="0.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c r="M506" s="7" t="str">
        <f>_xlfn.XLOOKUP(calls[[#This Row],[Customer ID]],customers[Customer ID],customers[City])</f>
        <v>Columbus</v>
      </c>
      <c r="N506" s="3" t="str">
        <f>_xlfn.XLOOKUP(calls[[#This Row],[Customer ID]],customers[Customer ID],customers[Gedner])</f>
        <v>Female</v>
      </c>
      <c r="P506">
        <f>IF(calls[[#This Row],[Call number]]&lt;&gt;"",1,0)</f>
        <v>1</v>
      </c>
      <c r="Q506">
        <f>IF(calls[[#This Row],[Rating rounded]]=5,1,0)</f>
        <v>0</v>
      </c>
    </row>
    <row r="507" spans="2:17" x14ac:dyDescent="0.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c r="M507" s="7" t="str">
        <f>_xlfn.XLOOKUP(calls[[#This Row],[Customer ID]],customers[Customer ID],customers[City])</f>
        <v>Columbus</v>
      </c>
      <c r="N507" s="3" t="str">
        <f>_xlfn.XLOOKUP(calls[[#This Row],[Customer ID]],customers[Customer ID],customers[Gedner])</f>
        <v>Male</v>
      </c>
      <c r="P507">
        <f>IF(calls[[#This Row],[Call number]]&lt;&gt;"",1,0)</f>
        <v>1</v>
      </c>
      <c r="Q507">
        <f>IF(calls[[#This Row],[Rating rounded]]=5,1,0)</f>
        <v>0</v>
      </c>
    </row>
    <row r="508" spans="2:17" x14ac:dyDescent="0.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c r="M508" s="7" t="str">
        <f>_xlfn.XLOOKUP(calls[[#This Row],[Customer ID]],customers[Customer ID],customers[City])</f>
        <v>Cleveland</v>
      </c>
      <c r="N508" s="3" t="str">
        <f>_xlfn.XLOOKUP(calls[[#This Row],[Customer ID]],customers[Customer ID],customers[Gedner])</f>
        <v>Female</v>
      </c>
      <c r="P508">
        <f>IF(calls[[#This Row],[Call number]]&lt;&gt;"",1,0)</f>
        <v>1</v>
      </c>
      <c r="Q508">
        <f>IF(calls[[#This Row],[Rating rounded]]=5,1,0)</f>
        <v>1</v>
      </c>
    </row>
    <row r="509" spans="2:17" x14ac:dyDescent="0.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c r="M509" s="7" t="str">
        <f>_xlfn.XLOOKUP(calls[[#This Row],[Customer ID]],customers[Customer ID],customers[City])</f>
        <v>Columbus</v>
      </c>
      <c r="N509" s="3" t="str">
        <f>_xlfn.XLOOKUP(calls[[#This Row],[Customer ID]],customers[Customer ID],customers[Gedner])</f>
        <v>Male</v>
      </c>
      <c r="P509">
        <f>IF(calls[[#This Row],[Call number]]&lt;&gt;"",1,0)</f>
        <v>1</v>
      </c>
      <c r="Q509">
        <f>IF(calls[[#This Row],[Rating rounded]]=5,1,0)</f>
        <v>0</v>
      </c>
    </row>
    <row r="510" spans="2:17" x14ac:dyDescent="0.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c r="M510" s="7" t="str">
        <f>_xlfn.XLOOKUP(calls[[#This Row],[Customer ID]],customers[Customer ID],customers[City])</f>
        <v>Columbus</v>
      </c>
      <c r="N510" s="3" t="str">
        <f>_xlfn.XLOOKUP(calls[[#This Row],[Customer ID]],customers[Customer ID],customers[Gedner])</f>
        <v>Male</v>
      </c>
      <c r="P510">
        <f>IF(calls[[#This Row],[Call number]]&lt;&gt;"",1,0)</f>
        <v>1</v>
      </c>
      <c r="Q510">
        <f>IF(calls[[#This Row],[Rating rounded]]=5,1,0)</f>
        <v>1</v>
      </c>
    </row>
    <row r="511" spans="2:17" x14ac:dyDescent="0.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c r="M511" s="7" t="str">
        <f>_xlfn.XLOOKUP(calls[[#This Row],[Customer ID]],customers[Customer ID],customers[City])</f>
        <v>Cincinnati</v>
      </c>
      <c r="N511" s="3" t="str">
        <f>_xlfn.XLOOKUP(calls[[#This Row],[Customer ID]],customers[Customer ID],customers[Gedner])</f>
        <v>Male</v>
      </c>
      <c r="P511">
        <f>IF(calls[[#This Row],[Call number]]&lt;&gt;"",1,0)</f>
        <v>1</v>
      </c>
      <c r="Q511">
        <f>IF(calls[[#This Row],[Rating rounded]]=5,1,0)</f>
        <v>1</v>
      </c>
    </row>
    <row r="512" spans="2:17" x14ac:dyDescent="0.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c r="M512" s="7" t="str">
        <f>_xlfn.XLOOKUP(calls[[#This Row],[Customer ID]],customers[Customer ID],customers[City])</f>
        <v>Cleveland</v>
      </c>
      <c r="N512" s="3" t="str">
        <f>_xlfn.XLOOKUP(calls[[#This Row],[Customer ID]],customers[Customer ID],customers[Gedner])</f>
        <v>Female</v>
      </c>
      <c r="P512">
        <f>IF(calls[[#This Row],[Call number]]&lt;&gt;"",1,0)</f>
        <v>1</v>
      </c>
      <c r="Q512">
        <f>IF(calls[[#This Row],[Rating rounded]]=5,1,0)</f>
        <v>0</v>
      </c>
    </row>
    <row r="513" spans="2:17" x14ac:dyDescent="0.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c r="M513" s="7" t="str">
        <f>_xlfn.XLOOKUP(calls[[#This Row],[Customer ID]],customers[Customer ID],customers[City])</f>
        <v>Cleveland</v>
      </c>
      <c r="N513" s="3" t="str">
        <f>_xlfn.XLOOKUP(calls[[#This Row],[Customer ID]],customers[Customer ID],customers[Gedner])</f>
        <v>Female</v>
      </c>
      <c r="P513">
        <f>IF(calls[[#This Row],[Call number]]&lt;&gt;"",1,0)</f>
        <v>1</v>
      </c>
      <c r="Q513">
        <f>IF(calls[[#This Row],[Rating rounded]]=5,1,0)</f>
        <v>0</v>
      </c>
    </row>
    <row r="514" spans="2:17" x14ac:dyDescent="0.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c r="M514" s="7" t="str">
        <f>_xlfn.XLOOKUP(calls[[#This Row],[Customer ID]],customers[Customer ID],customers[City])</f>
        <v>Cincinnati</v>
      </c>
      <c r="N514" s="3" t="str">
        <f>_xlfn.XLOOKUP(calls[[#This Row],[Customer ID]],customers[Customer ID],customers[Gedner])</f>
        <v>Female</v>
      </c>
      <c r="P514">
        <f>IF(calls[[#This Row],[Call number]]&lt;&gt;"",1,0)</f>
        <v>1</v>
      </c>
      <c r="Q514">
        <f>IF(calls[[#This Row],[Rating rounded]]=5,1,0)</f>
        <v>1</v>
      </c>
    </row>
    <row r="515" spans="2:17" x14ac:dyDescent="0.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c r="M515" s="7" t="str">
        <f>_xlfn.XLOOKUP(calls[[#This Row],[Customer ID]],customers[Customer ID],customers[City])</f>
        <v>Columbus</v>
      </c>
      <c r="N515" s="3" t="str">
        <f>_xlfn.XLOOKUP(calls[[#This Row],[Customer ID]],customers[Customer ID],customers[Gedner])</f>
        <v>Female</v>
      </c>
      <c r="P515">
        <f>IF(calls[[#This Row],[Call number]]&lt;&gt;"",1,0)</f>
        <v>1</v>
      </c>
      <c r="Q515">
        <f>IF(calls[[#This Row],[Rating rounded]]=5,1,0)</f>
        <v>0</v>
      </c>
    </row>
    <row r="516" spans="2:17" x14ac:dyDescent="0.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c r="M516" s="7" t="str">
        <f>_xlfn.XLOOKUP(calls[[#This Row],[Customer ID]],customers[Customer ID],customers[City])</f>
        <v>Columbus</v>
      </c>
      <c r="N516" s="3" t="str">
        <f>_xlfn.XLOOKUP(calls[[#This Row],[Customer ID]],customers[Customer ID],customers[Gedner])</f>
        <v>Female</v>
      </c>
      <c r="P516">
        <f>IF(calls[[#This Row],[Call number]]&lt;&gt;"",1,0)</f>
        <v>1</v>
      </c>
      <c r="Q516">
        <f>IF(calls[[#This Row],[Rating rounded]]=5,1,0)</f>
        <v>0</v>
      </c>
    </row>
    <row r="517" spans="2:17" x14ac:dyDescent="0.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c r="M517" s="7" t="str">
        <f>_xlfn.XLOOKUP(calls[[#This Row],[Customer ID]],customers[Customer ID],customers[City])</f>
        <v>Cleveland</v>
      </c>
      <c r="N517" s="3" t="str">
        <f>_xlfn.XLOOKUP(calls[[#This Row],[Customer ID]],customers[Customer ID],customers[Gedner])</f>
        <v>Female</v>
      </c>
      <c r="P517">
        <f>IF(calls[[#This Row],[Call number]]&lt;&gt;"",1,0)</f>
        <v>1</v>
      </c>
      <c r="Q517">
        <f>IF(calls[[#This Row],[Rating rounded]]=5,1,0)</f>
        <v>0</v>
      </c>
    </row>
    <row r="518" spans="2:17" x14ac:dyDescent="0.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c r="M518" s="7" t="str">
        <f>_xlfn.XLOOKUP(calls[[#This Row],[Customer ID]],customers[Customer ID],customers[City])</f>
        <v>Cleveland</v>
      </c>
      <c r="N518" s="3" t="str">
        <f>_xlfn.XLOOKUP(calls[[#This Row],[Customer ID]],customers[Customer ID],customers[Gedner])</f>
        <v>Female</v>
      </c>
      <c r="P518">
        <f>IF(calls[[#This Row],[Call number]]&lt;&gt;"",1,0)</f>
        <v>1</v>
      </c>
      <c r="Q518">
        <f>IF(calls[[#This Row],[Rating rounded]]=5,1,0)</f>
        <v>1</v>
      </c>
    </row>
    <row r="519" spans="2:17" x14ac:dyDescent="0.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c r="M519" s="7" t="str">
        <f>_xlfn.XLOOKUP(calls[[#This Row],[Customer ID]],customers[Customer ID],customers[City])</f>
        <v>Cleveland</v>
      </c>
      <c r="N519" s="3" t="str">
        <f>_xlfn.XLOOKUP(calls[[#This Row],[Customer ID]],customers[Customer ID],customers[Gedner])</f>
        <v>Female</v>
      </c>
      <c r="P519">
        <f>IF(calls[[#This Row],[Call number]]&lt;&gt;"",1,0)</f>
        <v>1</v>
      </c>
      <c r="Q519">
        <f>IF(calls[[#This Row],[Rating rounded]]=5,1,0)</f>
        <v>0</v>
      </c>
    </row>
    <row r="520" spans="2:17" x14ac:dyDescent="0.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c r="M520" s="7" t="str">
        <f>_xlfn.XLOOKUP(calls[[#This Row],[Customer ID]],customers[Customer ID],customers[City])</f>
        <v>Columbus</v>
      </c>
      <c r="N520" s="3" t="str">
        <f>_xlfn.XLOOKUP(calls[[#This Row],[Customer ID]],customers[Customer ID],customers[Gedner])</f>
        <v>Male</v>
      </c>
      <c r="P520">
        <f>IF(calls[[#This Row],[Call number]]&lt;&gt;"",1,0)</f>
        <v>1</v>
      </c>
      <c r="Q520">
        <f>IF(calls[[#This Row],[Rating rounded]]=5,1,0)</f>
        <v>0</v>
      </c>
    </row>
    <row r="521" spans="2:17" x14ac:dyDescent="0.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c r="M521" s="7" t="str">
        <f>_xlfn.XLOOKUP(calls[[#This Row],[Customer ID]],customers[Customer ID],customers[City])</f>
        <v>Cleveland</v>
      </c>
      <c r="N521" s="3" t="str">
        <f>_xlfn.XLOOKUP(calls[[#This Row],[Customer ID]],customers[Customer ID],customers[Gedner])</f>
        <v>Female</v>
      </c>
      <c r="P521">
        <f>IF(calls[[#This Row],[Call number]]&lt;&gt;"",1,0)</f>
        <v>1</v>
      </c>
      <c r="Q521">
        <f>IF(calls[[#This Row],[Rating rounded]]=5,1,0)</f>
        <v>0</v>
      </c>
    </row>
    <row r="522" spans="2:17" x14ac:dyDescent="0.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c r="M522" s="7" t="str">
        <f>_xlfn.XLOOKUP(calls[[#This Row],[Customer ID]],customers[Customer ID],customers[City])</f>
        <v>Columbus</v>
      </c>
      <c r="N522" s="3" t="str">
        <f>_xlfn.XLOOKUP(calls[[#This Row],[Customer ID]],customers[Customer ID],customers[Gedner])</f>
        <v>Female</v>
      </c>
      <c r="P522">
        <f>IF(calls[[#This Row],[Call number]]&lt;&gt;"",1,0)</f>
        <v>1</v>
      </c>
      <c r="Q522">
        <f>IF(calls[[#This Row],[Rating rounded]]=5,1,0)</f>
        <v>0</v>
      </c>
    </row>
    <row r="523" spans="2:17" x14ac:dyDescent="0.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c r="M523" s="7" t="str">
        <f>_xlfn.XLOOKUP(calls[[#This Row],[Customer ID]],customers[Customer ID],customers[City])</f>
        <v>Columbus</v>
      </c>
      <c r="N523" s="3" t="str">
        <f>_xlfn.XLOOKUP(calls[[#This Row],[Customer ID]],customers[Customer ID],customers[Gedner])</f>
        <v>Female</v>
      </c>
      <c r="P523">
        <f>IF(calls[[#This Row],[Call number]]&lt;&gt;"",1,0)</f>
        <v>1</v>
      </c>
      <c r="Q523">
        <f>IF(calls[[#This Row],[Rating rounded]]=5,1,0)</f>
        <v>1</v>
      </c>
    </row>
    <row r="524" spans="2:17" x14ac:dyDescent="0.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c r="M524" s="7" t="str">
        <f>_xlfn.XLOOKUP(calls[[#This Row],[Customer ID]],customers[Customer ID],customers[City])</f>
        <v>Cleveland</v>
      </c>
      <c r="N524" s="3" t="str">
        <f>_xlfn.XLOOKUP(calls[[#This Row],[Customer ID]],customers[Customer ID],customers[Gedner])</f>
        <v>Female</v>
      </c>
      <c r="P524">
        <f>IF(calls[[#This Row],[Call number]]&lt;&gt;"",1,0)</f>
        <v>1</v>
      </c>
      <c r="Q524">
        <f>IF(calls[[#This Row],[Rating rounded]]=5,1,0)</f>
        <v>1</v>
      </c>
    </row>
    <row r="525" spans="2:17" x14ac:dyDescent="0.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c r="M525" s="7" t="str">
        <f>_xlfn.XLOOKUP(calls[[#This Row],[Customer ID]],customers[Customer ID],customers[City])</f>
        <v>Cleveland</v>
      </c>
      <c r="N525" s="3" t="str">
        <f>_xlfn.XLOOKUP(calls[[#This Row],[Customer ID]],customers[Customer ID],customers[Gedner])</f>
        <v>Female</v>
      </c>
      <c r="P525">
        <f>IF(calls[[#This Row],[Call number]]&lt;&gt;"",1,0)</f>
        <v>1</v>
      </c>
      <c r="Q525">
        <f>IF(calls[[#This Row],[Rating rounded]]=5,1,0)</f>
        <v>0</v>
      </c>
    </row>
    <row r="526" spans="2:17" x14ac:dyDescent="0.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c r="M526" s="7" t="str">
        <f>_xlfn.XLOOKUP(calls[[#This Row],[Customer ID]],customers[Customer ID],customers[City])</f>
        <v>Cincinnati</v>
      </c>
      <c r="N526" s="3" t="str">
        <f>_xlfn.XLOOKUP(calls[[#This Row],[Customer ID]],customers[Customer ID],customers[Gedner])</f>
        <v>Female</v>
      </c>
      <c r="P526">
        <f>IF(calls[[#This Row],[Call number]]&lt;&gt;"",1,0)</f>
        <v>1</v>
      </c>
      <c r="Q526">
        <f>IF(calls[[#This Row],[Rating rounded]]=5,1,0)</f>
        <v>1</v>
      </c>
    </row>
    <row r="527" spans="2:17" x14ac:dyDescent="0.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c r="M527" s="7" t="str">
        <f>_xlfn.XLOOKUP(calls[[#This Row],[Customer ID]],customers[Customer ID],customers[City])</f>
        <v>Cleveland</v>
      </c>
      <c r="N527" s="3" t="str">
        <f>_xlfn.XLOOKUP(calls[[#This Row],[Customer ID]],customers[Customer ID],customers[Gedner])</f>
        <v>Female</v>
      </c>
      <c r="P527">
        <f>IF(calls[[#This Row],[Call number]]&lt;&gt;"",1,0)</f>
        <v>1</v>
      </c>
      <c r="Q527">
        <f>IF(calls[[#This Row],[Rating rounded]]=5,1,0)</f>
        <v>1</v>
      </c>
    </row>
    <row r="528" spans="2:17" x14ac:dyDescent="0.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c r="M528" s="7" t="str">
        <f>_xlfn.XLOOKUP(calls[[#This Row],[Customer ID]],customers[Customer ID],customers[City])</f>
        <v>Cleveland</v>
      </c>
      <c r="N528" s="3" t="str">
        <f>_xlfn.XLOOKUP(calls[[#This Row],[Customer ID]],customers[Customer ID],customers[Gedner])</f>
        <v>Female</v>
      </c>
      <c r="P528">
        <f>IF(calls[[#This Row],[Call number]]&lt;&gt;"",1,0)</f>
        <v>1</v>
      </c>
      <c r="Q528">
        <f>IF(calls[[#This Row],[Rating rounded]]=5,1,0)</f>
        <v>0</v>
      </c>
    </row>
    <row r="529" spans="2:17" x14ac:dyDescent="0.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c r="M529" s="7" t="str">
        <f>_xlfn.XLOOKUP(calls[[#This Row],[Customer ID]],customers[Customer ID],customers[City])</f>
        <v>Columbus</v>
      </c>
      <c r="N529" s="3" t="str">
        <f>_xlfn.XLOOKUP(calls[[#This Row],[Customer ID]],customers[Customer ID],customers[Gedner])</f>
        <v>Male</v>
      </c>
      <c r="P529">
        <f>IF(calls[[#This Row],[Call number]]&lt;&gt;"",1,0)</f>
        <v>1</v>
      </c>
      <c r="Q529">
        <f>IF(calls[[#This Row],[Rating rounded]]=5,1,0)</f>
        <v>0</v>
      </c>
    </row>
    <row r="530" spans="2:17" x14ac:dyDescent="0.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c r="M530" s="7" t="str">
        <f>_xlfn.XLOOKUP(calls[[#This Row],[Customer ID]],customers[Customer ID],customers[City])</f>
        <v>Cincinnati</v>
      </c>
      <c r="N530" s="3" t="str">
        <f>_xlfn.XLOOKUP(calls[[#This Row],[Customer ID]],customers[Customer ID],customers[Gedner])</f>
        <v>Female</v>
      </c>
      <c r="P530">
        <f>IF(calls[[#This Row],[Call number]]&lt;&gt;"",1,0)</f>
        <v>1</v>
      </c>
      <c r="Q530">
        <f>IF(calls[[#This Row],[Rating rounded]]=5,1,0)</f>
        <v>0</v>
      </c>
    </row>
    <row r="531" spans="2:17" x14ac:dyDescent="0.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c r="M531" s="7" t="str">
        <f>_xlfn.XLOOKUP(calls[[#This Row],[Customer ID]],customers[Customer ID],customers[City])</f>
        <v>Columbus</v>
      </c>
      <c r="N531" s="3" t="str">
        <f>_xlfn.XLOOKUP(calls[[#This Row],[Customer ID]],customers[Customer ID],customers[Gedner])</f>
        <v>Female</v>
      </c>
      <c r="P531">
        <f>IF(calls[[#This Row],[Call number]]&lt;&gt;"",1,0)</f>
        <v>1</v>
      </c>
      <c r="Q531">
        <f>IF(calls[[#This Row],[Rating rounded]]=5,1,0)</f>
        <v>0</v>
      </c>
    </row>
    <row r="532" spans="2:17" x14ac:dyDescent="0.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c r="M532" s="7" t="str">
        <f>_xlfn.XLOOKUP(calls[[#This Row],[Customer ID]],customers[Customer ID],customers[City])</f>
        <v>Cincinnati</v>
      </c>
      <c r="N532" s="3" t="str">
        <f>_xlfn.XLOOKUP(calls[[#This Row],[Customer ID]],customers[Customer ID],customers[Gedner])</f>
        <v>Male</v>
      </c>
      <c r="P532">
        <f>IF(calls[[#This Row],[Call number]]&lt;&gt;"",1,0)</f>
        <v>1</v>
      </c>
      <c r="Q532">
        <f>IF(calls[[#This Row],[Rating rounded]]=5,1,0)</f>
        <v>0</v>
      </c>
    </row>
    <row r="533" spans="2:17" x14ac:dyDescent="0.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c r="M533" s="7" t="str">
        <f>_xlfn.XLOOKUP(calls[[#This Row],[Customer ID]],customers[Customer ID],customers[City])</f>
        <v>Columbus</v>
      </c>
      <c r="N533" s="3" t="str">
        <f>_xlfn.XLOOKUP(calls[[#This Row],[Customer ID]],customers[Customer ID],customers[Gedner])</f>
        <v>Male</v>
      </c>
      <c r="P533">
        <f>IF(calls[[#This Row],[Call number]]&lt;&gt;"",1,0)</f>
        <v>1</v>
      </c>
      <c r="Q533">
        <f>IF(calls[[#This Row],[Rating rounded]]=5,1,0)</f>
        <v>0</v>
      </c>
    </row>
    <row r="534" spans="2:17" x14ac:dyDescent="0.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c r="M534" s="7" t="str">
        <f>_xlfn.XLOOKUP(calls[[#This Row],[Customer ID]],customers[Customer ID],customers[City])</f>
        <v>Columbus</v>
      </c>
      <c r="N534" s="3" t="str">
        <f>_xlfn.XLOOKUP(calls[[#This Row],[Customer ID]],customers[Customer ID],customers[Gedner])</f>
        <v>Male</v>
      </c>
      <c r="P534">
        <f>IF(calls[[#This Row],[Call number]]&lt;&gt;"",1,0)</f>
        <v>1</v>
      </c>
      <c r="Q534">
        <f>IF(calls[[#This Row],[Rating rounded]]=5,1,0)</f>
        <v>0</v>
      </c>
    </row>
    <row r="535" spans="2:17" x14ac:dyDescent="0.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c r="M535" s="7" t="str">
        <f>_xlfn.XLOOKUP(calls[[#This Row],[Customer ID]],customers[Customer ID],customers[City])</f>
        <v>Cincinnati</v>
      </c>
      <c r="N535" s="3" t="str">
        <f>_xlfn.XLOOKUP(calls[[#This Row],[Customer ID]],customers[Customer ID],customers[Gedner])</f>
        <v>Male</v>
      </c>
      <c r="P535">
        <f>IF(calls[[#This Row],[Call number]]&lt;&gt;"",1,0)</f>
        <v>1</v>
      </c>
      <c r="Q535">
        <f>IF(calls[[#This Row],[Rating rounded]]=5,1,0)</f>
        <v>0</v>
      </c>
    </row>
    <row r="536" spans="2:17" x14ac:dyDescent="0.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c r="M536" s="7" t="str">
        <f>_xlfn.XLOOKUP(calls[[#This Row],[Customer ID]],customers[Customer ID],customers[City])</f>
        <v>Columbus</v>
      </c>
      <c r="N536" s="3" t="str">
        <f>_xlfn.XLOOKUP(calls[[#This Row],[Customer ID]],customers[Customer ID],customers[Gedner])</f>
        <v>Male</v>
      </c>
      <c r="P536">
        <f>IF(calls[[#This Row],[Call number]]&lt;&gt;"",1,0)</f>
        <v>1</v>
      </c>
      <c r="Q536">
        <f>IF(calls[[#This Row],[Rating rounded]]=5,1,0)</f>
        <v>0</v>
      </c>
    </row>
    <row r="537" spans="2:17" x14ac:dyDescent="0.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c r="M537" s="7" t="str">
        <f>_xlfn.XLOOKUP(calls[[#This Row],[Customer ID]],customers[Customer ID],customers[City])</f>
        <v>Cleveland</v>
      </c>
      <c r="N537" s="3" t="str">
        <f>_xlfn.XLOOKUP(calls[[#This Row],[Customer ID]],customers[Customer ID],customers[Gedner])</f>
        <v>Female</v>
      </c>
      <c r="P537">
        <f>IF(calls[[#This Row],[Call number]]&lt;&gt;"",1,0)</f>
        <v>1</v>
      </c>
      <c r="Q537">
        <f>IF(calls[[#This Row],[Rating rounded]]=5,1,0)</f>
        <v>0</v>
      </c>
    </row>
    <row r="538" spans="2:17" x14ac:dyDescent="0.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c r="M538" s="7" t="str">
        <f>_xlfn.XLOOKUP(calls[[#This Row],[Customer ID]],customers[Customer ID],customers[City])</f>
        <v>Cleveland</v>
      </c>
      <c r="N538" s="3" t="str">
        <f>_xlfn.XLOOKUP(calls[[#This Row],[Customer ID]],customers[Customer ID],customers[Gedner])</f>
        <v>Female</v>
      </c>
      <c r="P538">
        <f>IF(calls[[#This Row],[Call number]]&lt;&gt;"",1,0)</f>
        <v>1</v>
      </c>
      <c r="Q538">
        <f>IF(calls[[#This Row],[Rating rounded]]=5,1,0)</f>
        <v>0</v>
      </c>
    </row>
    <row r="539" spans="2:17" x14ac:dyDescent="0.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c r="M539" s="7" t="str">
        <f>_xlfn.XLOOKUP(calls[[#This Row],[Customer ID]],customers[Customer ID],customers[City])</f>
        <v>Cleveland</v>
      </c>
      <c r="N539" s="3" t="str">
        <f>_xlfn.XLOOKUP(calls[[#This Row],[Customer ID]],customers[Customer ID],customers[Gedner])</f>
        <v>Male</v>
      </c>
      <c r="P539">
        <f>IF(calls[[#This Row],[Call number]]&lt;&gt;"",1,0)</f>
        <v>1</v>
      </c>
      <c r="Q539">
        <f>IF(calls[[#This Row],[Rating rounded]]=5,1,0)</f>
        <v>1</v>
      </c>
    </row>
    <row r="540" spans="2:17" x14ac:dyDescent="0.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c r="M540" s="7" t="str">
        <f>_xlfn.XLOOKUP(calls[[#This Row],[Customer ID]],customers[Customer ID],customers[City])</f>
        <v>Cleveland</v>
      </c>
      <c r="N540" s="3" t="str">
        <f>_xlfn.XLOOKUP(calls[[#This Row],[Customer ID]],customers[Customer ID],customers[Gedner])</f>
        <v>Female</v>
      </c>
      <c r="P540">
        <f>IF(calls[[#This Row],[Call number]]&lt;&gt;"",1,0)</f>
        <v>1</v>
      </c>
      <c r="Q540">
        <f>IF(calls[[#This Row],[Rating rounded]]=5,1,0)</f>
        <v>0</v>
      </c>
    </row>
    <row r="541" spans="2:17" x14ac:dyDescent="0.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c r="M541" s="7" t="str">
        <f>_xlfn.XLOOKUP(calls[[#This Row],[Customer ID]],customers[Customer ID],customers[City])</f>
        <v>Cleveland</v>
      </c>
      <c r="N541" s="3" t="str">
        <f>_xlfn.XLOOKUP(calls[[#This Row],[Customer ID]],customers[Customer ID],customers[Gedner])</f>
        <v>Female</v>
      </c>
      <c r="P541">
        <f>IF(calls[[#This Row],[Call number]]&lt;&gt;"",1,0)</f>
        <v>1</v>
      </c>
      <c r="Q541">
        <f>IF(calls[[#This Row],[Rating rounded]]=5,1,0)</f>
        <v>0</v>
      </c>
    </row>
    <row r="542" spans="2:17" x14ac:dyDescent="0.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c r="M542" s="7" t="str">
        <f>_xlfn.XLOOKUP(calls[[#This Row],[Customer ID]],customers[Customer ID],customers[City])</f>
        <v>Cincinnati</v>
      </c>
      <c r="N542" s="3" t="str">
        <f>_xlfn.XLOOKUP(calls[[#This Row],[Customer ID]],customers[Customer ID],customers[Gedner])</f>
        <v>Female</v>
      </c>
      <c r="P542">
        <f>IF(calls[[#This Row],[Call number]]&lt;&gt;"",1,0)</f>
        <v>1</v>
      </c>
      <c r="Q542">
        <f>IF(calls[[#This Row],[Rating rounded]]=5,1,0)</f>
        <v>0</v>
      </c>
    </row>
    <row r="543" spans="2:17" x14ac:dyDescent="0.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c r="M543" s="7" t="str">
        <f>_xlfn.XLOOKUP(calls[[#This Row],[Customer ID]],customers[Customer ID],customers[City])</f>
        <v>Cincinnati</v>
      </c>
      <c r="N543" s="3" t="str">
        <f>_xlfn.XLOOKUP(calls[[#This Row],[Customer ID]],customers[Customer ID],customers[Gedner])</f>
        <v>Male</v>
      </c>
      <c r="P543">
        <f>IF(calls[[#This Row],[Call number]]&lt;&gt;"",1,0)</f>
        <v>1</v>
      </c>
      <c r="Q543">
        <f>IF(calls[[#This Row],[Rating rounded]]=5,1,0)</f>
        <v>1</v>
      </c>
    </row>
    <row r="544" spans="2:17" x14ac:dyDescent="0.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c r="M544" s="7" t="str">
        <f>_xlfn.XLOOKUP(calls[[#This Row],[Customer ID]],customers[Customer ID],customers[City])</f>
        <v>Cleveland</v>
      </c>
      <c r="N544" s="3" t="str">
        <f>_xlfn.XLOOKUP(calls[[#This Row],[Customer ID]],customers[Customer ID],customers[Gedner])</f>
        <v>Male</v>
      </c>
      <c r="P544">
        <f>IF(calls[[#This Row],[Call number]]&lt;&gt;"",1,0)</f>
        <v>1</v>
      </c>
      <c r="Q544">
        <f>IF(calls[[#This Row],[Rating rounded]]=5,1,0)</f>
        <v>0</v>
      </c>
    </row>
    <row r="545" spans="2:17" x14ac:dyDescent="0.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c r="M545" s="7" t="str">
        <f>_xlfn.XLOOKUP(calls[[#This Row],[Customer ID]],customers[Customer ID],customers[City])</f>
        <v>Cleveland</v>
      </c>
      <c r="N545" s="3" t="str">
        <f>_xlfn.XLOOKUP(calls[[#This Row],[Customer ID]],customers[Customer ID],customers[Gedner])</f>
        <v>Male</v>
      </c>
      <c r="P545">
        <f>IF(calls[[#This Row],[Call number]]&lt;&gt;"",1,0)</f>
        <v>1</v>
      </c>
      <c r="Q545">
        <f>IF(calls[[#This Row],[Rating rounded]]=5,1,0)</f>
        <v>1</v>
      </c>
    </row>
    <row r="546" spans="2:17" x14ac:dyDescent="0.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c r="M546" s="7" t="str">
        <f>_xlfn.XLOOKUP(calls[[#This Row],[Customer ID]],customers[Customer ID],customers[City])</f>
        <v>Cleveland</v>
      </c>
      <c r="N546" s="3" t="str">
        <f>_xlfn.XLOOKUP(calls[[#This Row],[Customer ID]],customers[Customer ID],customers[Gedner])</f>
        <v>Male</v>
      </c>
      <c r="P546">
        <f>IF(calls[[#This Row],[Call number]]&lt;&gt;"",1,0)</f>
        <v>1</v>
      </c>
      <c r="Q546">
        <f>IF(calls[[#This Row],[Rating rounded]]=5,1,0)</f>
        <v>0</v>
      </c>
    </row>
    <row r="547" spans="2:17" x14ac:dyDescent="0.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c r="M547" s="7" t="str">
        <f>_xlfn.XLOOKUP(calls[[#This Row],[Customer ID]],customers[Customer ID],customers[City])</f>
        <v>Cleveland</v>
      </c>
      <c r="N547" s="3" t="str">
        <f>_xlfn.XLOOKUP(calls[[#This Row],[Customer ID]],customers[Customer ID],customers[Gedner])</f>
        <v>Female</v>
      </c>
      <c r="P547">
        <f>IF(calls[[#This Row],[Call number]]&lt;&gt;"",1,0)</f>
        <v>1</v>
      </c>
      <c r="Q547">
        <f>IF(calls[[#This Row],[Rating rounded]]=5,1,0)</f>
        <v>0</v>
      </c>
    </row>
    <row r="548" spans="2:17" x14ac:dyDescent="0.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c r="M548" s="7" t="str">
        <f>_xlfn.XLOOKUP(calls[[#This Row],[Customer ID]],customers[Customer ID],customers[City])</f>
        <v>Cleveland</v>
      </c>
      <c r="N548" s="3" t="str">
        <f>_xlfn.XLOOKUP(calls[[#This Row],[Customer ID]],customers[Customer ID],customers[Gedner])</f>
        <v>Female</v>
      </c>
      <c r="P548">
        <f>IF(calls[[#This Row],[Call number]]&lt;&gt;"",1,0)</f>
        <v>1</v>
      </c>
      <c r="Q548">
        <f>IF(calls[[#This Row],[Rating rounded]]=5,1,0)</f>
        <v>0</v>
      </c>
    </row>
    <row r="549" spans="2:17" x14ac:dyDescent="0.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c r="M549" s="7" t="str">
        <f>_xlfn.XLOOKUP(calls[[#This Row],[Customer ID]],customers[Customer ID],customers[City])</f>
        <v>Cincinnati</v>
      </c>
      <c r="N549" s="3" t="str">
        <f>_xlfn.XLOOKUP(calls[[#This Row],[Customer ID]],customers[Customer ID],customers[Gedner])</f>
        <v>Male</v>
      </c>
      <c r="P549">
        <f>IF(calls[[#This Row],[Call number]]&lt;&gt;"",1,0)</f>
        <v>1</v>
      </c>
      <c r="Q549">
        <f>IF(calls[[#This Row],[Rating rounded]]=5,1,0)</f>
        <v>0</v>
      </c>
    </row>
    <row r="550" spans="2:17" x14ac:dyDescent="0.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c r="M550" s="7" t="str">
        <f>_xlfn.XLOOKUP(calls[[#This Row],[Customer ID]],customers[Customer ID],customers[City])</f>
        <v>Cincinnati</v>
      </c>
      <c r="N550" s="3" t="str">
        <f>_xlfn.XLOOKUP(calls[[#This Row],[Customer ID]],customers[Customer ID],customers[Gedner])</f>
        <v>Female</v>
      </c>
      <c r="P550">
        <f>IF(calls[[#This Row],[Call number]]&lt;&gt;"",1,0)</f>
        <v>1</v>
      </c>
      <c r="Q550">
        <f>IF(calls[[#This Row],[Rating rounded]]=5,1,0)</f>
        <v>0</v>
      </c>
    </row>
    <row r="551" spans="2:17" x14ac:dyDescent="0.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c r="M551" s="7" t="str">
        <f>_xlfn.XLOOKUP(calls[[#This Row],[Customer ID]],customers[Customer ID],customers[City])</f>
        <v>Cincinnati</v>
      </c>
      <c r="N551" s="3" t="str">
        <f>_xlfn.XLOOKUP(calls[[#This Row],[Customer ID]],customers[Customer ID],customers[Gedner])</f>
        <v>Female</v>
      </c>
      <c r="P551">
        <f>IF(calls[[#This Row],[Call number]]&lt;&gt;"",1,0)</f>
        <v>1</v>
      </c>
      <c r="Q551">
        <f>IF(calls[[#This Row],[Rating rounded]]=5,1,0)</f>
        <v>1</v>
      </c>
    </row>
    <row r="552" spans="2:17" x14ac:dyDescent="0.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c r="M552" s="7" t="str">
        <f>_xlfn.XLOOKUP(calls[[#This Row],[Customer ID]],customers[Customer ID],customers[City])</f>
        <v>Columbus</v>
      </c>
      <c r="N552" s="3" t="str">
        <f>_xlfn.XLOOKUP(calls[[#This Row],[Customer ID]],customers[Customer ID],customers[Gedner])</f>
        <v>Male</v>
      </c>
      <c r="P552">
        <f>IF(calls[[#This Row],[Call number]]&lt;&gt;"",1,0)</f>
        <v>1</v>
      </c>
      <c r="Q552">
        <f>IF(calls[[#This Row],[Rating rounded]]=5,1,0)</f>
        <v>0</v>
      </c>
    </row>
    <row r="553" spans="2:17" x14ac:dyDescent="0.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c r="M553" s="7" t="str">
        <f>_xlfn.XLOOKUP(calls[[#This Row],[Customer ID]],customers[Customer ID],customers[City])</f>
        <v>Columbus</v>
      </c>
      <c r="N553" s="3" t="str">
        <f>_xlfn.XLOOKUP(calls[[#This Row],[Customer ID]],customers[Customer ID],customers[Gedner])</f>
        <v>Male</v>
      </c>
      <c r="P553">
        <f>IF(calls[[#This Row],[Call number]]&lt;&gt;"",1,0)</f>
        <v>1</v>
      </c>
      <c r="Q553">
        <f>IF(calls[[#This Row],[Rating rounded]]=5,1,0)</f>
        <v>0</v>
      </c>
    </row>
    <row r="554" spans="2:17" x14ac:dyDescent="0.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c r="M554" s="7" t="str">
        <f>_xlfn.XLOOKUP(calls[[#This Row],[Customer ID]],customers[Customer ID],customers[City])</f>
        <v>Cincinnati</v>
      </c>
      <c r="N554" s="3" t="str">
        <f>_xlfn.XLOOKUP(calls[[#This Row],[Customer ID]],customers[Customer ID],customers[Gedner])</f>
        <v>Female</v>
      </c>
      <c r="P554">
        <f>IF(calls[[#This Row],[Call number]]&lt;&gt;"",1,0)</f>
        <v>1</v>
      </c>
      <c r="Q554">
        <f>IF(calls[[#This Row],[Rating rounded]]=5,1,0)</f>
        <v>1</v>
      </c>
    </row>
    <row r="555" spans="2:17" x14ac:dyDescent="0.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c r="M555" s="7" t="str">
        <f>_xlfn.XLOOKUP(calls[[#This Row],[Customer ID]],customers[Customer ID],customers[City])</f>
        <v>Cincinnati</v>
      </c>
      <c r="N555" s="3" t="str">
        <f>_xlfn.XLOOKUP(calls[[#This Row],[Customer ID]],customers[Customer ID],customers[Gedner])</f>
        <v>Female</v>
      </c>
      <c r="P555">
        <f>IF(calls[[#This Row],[Call number]]&lt;&gt;"",1,0)</f>
        <v>1</v>
      </c>
      <c r="Q555">
        <f>IF(calls[[#This Row],[Rating rounded]]=5,1,0)</f>
        <v>0</v>
      </c>
    </row>
    <row r="556" spans="2:17" x14ac:dyDescent="0.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c r="M556" s="7" t="str">
        <f>_xlfn.XLOOKUP(calls[[#This Row],[Customer ID]],customers[Customer ID],customers[City])</f>
        <v>Cincinnati</v>
      </c>
      <c r="N556" s="3" t="str">
        <f>_xlfn.XLOOKUP(calls[[#This Row],[Customer ID]],customers[Customer ID],customers[Gedner])</f>
        <v>Male</v>
      </c>
      <c r="P556">
        <f>IF(calls[[#This Row],[Call number]]&lt;&gt;"",1,0)</f>
        <v>1</v>
      </c>
      <c r="Q556">
        <f>IF(calls[[#This Row],[Rating rounded]]=5,1,0)</f>
        <v>0</v>
      </c>
    </row>
    <row r="557" spans="2:17" x14ac:dyDescent="0.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c r="M557" s="7" t="str">
        <f>_xlfn.XLOOKUP(calls[[#This Row],[Customer ID]],customers[Customer ID],customers[City])</f>
        <v>Cleveland</v>
      </c>
      <c r="N557" s="3" t="str">
        <f>_xlfn.XLOOKUP(calls[[#This Row],[Customer ID]],customers[Customer ID],customers[Gedner])</f>
        <v>Female</v>
      </c>
      <c r="P557">
        <f>IF(calls[[#This Row],[Call number]]&lt;&gt;"",1,0)</f>
        <v>1</v>
      </c>
      <c r="Q557">
        <f>IF(calls[[#This Row],[Rating rounded]]=5,1,0)</f>
        <v>1</v>
      </c>
    </row>
    <row r="558" spans="2:17" x14ac:dyDescent="0.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c r="M558" s="7" t="str">
        <f>_xlfn.XLOOKUP(calls[[#This Row],[Customer ID]],customers[Customer ID],customers[City])</f>
        <v>Cleveland</v>
      </c>
      <c r="N558" s="3" t="str">
        <f>_xlfn.XLOOKUP(calls[[#This Row],[Customer ID]],customers[Customer ID],customers[Gedner])</f>
        <v>Female</v>
      </c>
      <c r="P558">
        <f>IF(calls[[#This Row],[Call number]]&lt;&gt;"",1,0)</f>
        <v>1</v>
      </c>
      <c r="Q558">
        <f>IF(calls[[#This Row],[Rating rounded]]=5,1,0)</f>
        <v>1</v>
      </c>
    </row>
    <row r="559" spans="2:17" x14ac:dyDescent="0.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c r="M559" s="7" t="str">
        <f>_xlfn.XLOOKUP(calls[[#This Row],[Customer ID]],customers[Customer ID],customers[City])</f>
        <v>Cleveland</v>
      </c>
      <c r="N559" s="3" t="str">
        <f>_xlfn.XLOOKUP(calls[[#This Row],[Customer ID]],customers[Customer ID],customers[Gedner])</f>
        <v>Female</v>
      </c>
      <c r="P559">
        <f>IF(calls[[#This Row],[Call number]]&lt;&gt;"",1,0)</f>
        <v>1</v>
      </c>
      <c r="Q559">
        <f>IF(calls[[#This Row],[Rating rounded]]=5,1,0)</f>
        <v>0</v>
      </c>
    </row>
    <row r="560" spans="2:17" x14ac:dyDescent="0.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c r="M560" s="7" t="str">
        <f>_xlfn.XLOOKUP(calls[[#This Row],[Customer ID]],customers[Customer ID],customers[City])</f>
        <v>Cleveland</v>
      </c>
      <c r="N560" s="3" t="str">
        <f>_xlfn.XLOOKUP(calls[[#This Row],[Customer ID]],customers[Customer ID],customers[Gedner])</f>
        <v>Male</v>
      </c>
      <c r="P560">
        <f>IF(calls[[#This Row],[Call number]]&lt;&gt;"",1,0)</f>
        <v>1</v>
      </c>
      <c r="Q560">
        <f>IF(calls[[#This Row],[Rating rounded]]=5,1,0)</f>
        <v>0</v>
      </c>
    </row>
    <row r="561" spans="2:17" x14ac:dyDescent="0.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c r="M561" s="7" t="str">
        <f>_xlfn.XLOOKUP(calls[[#This Row],[Customer ID]],customers[Customer ID],customers[City])</f>
        <v>Cleveland</v>
      </c>
      <c r="N561" s="3" t="str">
        <f>_xlfn.XLOOKUP(calls[[#This Row],[Customer ID]],customers[Customer ID],customers[Gedner])</f>
        <v>Female</v>
      </c>
      <c r="P561">
        <f>IF(calls[[#This Row],[Call number]]&lt;&gt;"",1,0)</f>
        <v>1</v>
      </c>
      <c r="Q561">
        <f>IF(calls[[#This Row],[Rating rounded]]=5,1,0)</f>
        <v>0</v>
      </c>
    </row>
    <row r="562" spans="2:17" x14ac:dyDescent="0.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c r="M562" s="7" t="str">
        <f>_xlfn.XLOOKUP(calls[[#This Row],[Customer ID]],customers[Customer ID],customers[City])</f>
        <v>Columbus</v>
      </c>
      <c r="N562" s="3" t="str">
        <f>_xlfn.XLOOKUP(calls[[#This Row],[Customer ID]],customers[Customer ID],customers[Gedner])</f>
        <v>Male</v>
      </c>
      <c r="P562">
        <f>IF(calls[[#This Row],[Call number]]&lt;&gt;"",1,0)</f>
        <v>1</v>
      </c>
      <c r="Q562">
        <f>IF(calls[[#This Row],[Rating rounded]]=5,1,0)</f>
        <v>0</v>
      </c>
    </row>
    <row r="563" spans="2:17" x14ac:dyDescent="0.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c r="M563" s="7" t="str">
        <f>_xlfn.XLOOKUP(calls[[#This Row],[Customer ID]],customers[Customer ID],customers[City])</f>
        <v>Columbus</v>
      </c>
      <c r="N563" s="3" t="str">
        <f>_xlfn.XLOOKUP(calls[[#This Row],[Customer ID]],customers[Customer ID],customers[Gedner])</f>
        <v>Male</v>
      </c>
      <c r="P563">
        <f>IF(calls[[#This Row],[Call number]]&lt;&gt;"",1,0)</f>
        <v>1</v>
      </c>
      <c r="Q563">
        <f>IF(calls[[#This Row],[Rating rounded]]=5,1,0)</f>
        <v>0</v>
      </c>
    </row>
    <row r="564" spans="2:17" x14ac:dyDescent="0.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c r="M564" s="7" t="str">
        <f>_xlfn.XLOOKUP(calls[[#This Row],[Customer ID]],customers[Customer ID],customers[City])</f>
        <v>Cleveland</v>
      </c>
      <c r="N564" s="3" t="str">
        <f>_xlfn.XLOOKUP(calls[[#This Row],[Customer ID]],customers[Customer ID],customers[Gedner])</f>
        <v>Female</v>
      </c>
      <c r="P564">
        <f>IF(calls[[#This Row],[Call number]]&lt;&gt;"",1,0)</f>
        <v>1</v>
      </c>
      <c r="Q564">
        <f>IF(calls[[#This Row],[Rating rounded]]=5,1,0)</f>
        <v>1</v>
      </c>
    </row>
    <row r="565" spans="2:17" x14ac:dyDescent="0.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c r="M565" s="7" t="str">
        <f>_xlfn.XLOOKUP(calls[[#This Row],[Customer ID]],customers[Customer ID],customers[City])</f>
        <v>Columbus</v>
      </c>
      <c r="N565" s="3" t="str">
        <f>_xlfn.XLOOKUP(calls[[#This Row],[Customer ID]],customers[Customer ID],customers[Gedner])</f>
        <v>Male</v>
      </c>
      <c r="P565">
        <f>IF(calls[[#This Row],[Call number]]&lt;&gt;"",1,0)</f>
        <v>1</v>
      </c>
      <c r="Q565">
        <f>IF(calls[[#This Row],[Rating rounded]]=5,1,0)</f>
        <v>0</v>
      </c>
    </row>
    <row r="566" spans="2:17" x14ac:dyDescent="0.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c r="M566" s="7" t="str">
        <f>_xlfn.XLOOKUP(calls[[#This Row],[Customer ID]],customers[Customer ID],customers[City])</f>
        <v>Columbus</v>
      </c>
      <c r="N566" s="3" t="str">
        <f>_xlfn.XLOOKUP(calls[[#This Row],[Customer ID]],customers[Customer ID],customers[Gedner])</f>
        <v>Male</v>
      </c>
      <c r="P566">
        <f>IF(calls[[#This Row],[Call number]]&lt;&gt;"",1,0)</f>
        <v>1</v>
      </c>
      <c r="Q566">
        <f>IF(calls[[#This Row],[Rating rounded]]=5,1,0)</f>
        <v>0</v>
      </c>
    </row>
    <row r="567" spans="2:17" x14ac:dyDescent="0.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c r="M567" s="7" t="str">
        <f>_xlfn.XLOOKUP(calls[[#This Row],[Customer ID]],customers[Customer ID],customers[City])</f>
        <v>Cleveland</v>
      </c>
      <c r="N567" s="3" t="str">
        <f>_xlfn.XLOOKUP(calls[[#This Row],[Customer ID]],customers[Customer ID],customers[Gedner])</f>
        <v>Female</v>
      </c>
      <c r="P567">
        <f>IF(calls[[#This Row],[Call number]]&lt;&gt;"",1,0)</f>
        <v>1</v>
      </c>
      <c r="Q567">
        <f>IF(calls[[#This Row],[Rating rounded]]=5,1,0)</f>
        <v>1</v>
      </c>
    </row>
    <row r="568" spans="2:17" x14ac:dyDescent="0.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c r="M568" s="7" t="str">
        <f>_xlfn.XLOOKUP(calls[[#This Row],[Customer ID]],customers[Customer ID],customers[City])</f>
        <v>Cleveland</v>
      </c>
      <c r="N568" s="3" t="str">
        <f>_xlfn.XLOOKUP(calls[[#This Row],[Customer ID]],customers[Customer ID],customers[Gedner])</f>
        <v>Female</v>
      </c>
      <c r="P568">
        <f>IF(calls[[#This Row],[Call number]]&lt;&gt;"",1,0)</f>
        <v>1</v>
      </c>
      <c r="Q568">
        <f>IF(calls[[#This Row],[Rating rounded]]=5,1,0)</f>
        <v>0</v>
      </c>
    </row>
    <row r="569" spans="2:17" x14ac:dyDescent="0.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c r="M569" s="7" t="str">
        <f>_xlfn.XLOOKUP(calls[[#This Row],[Customer ID]],customers[Customer ID],customers[City])</f>
        <v>Cleveland</v>
      </c>
      <c r="N569" s="3" t="str">
        <f>_xlfn.XLOOKUP(calls[[#This Row],[Customer ID]],customers[Customer ID],customers[Gedner])</f>
        <v>Female</v>
      </c>
      <c r="P569">
        <f>IF(calls[[#This Row],[Call number]]&lt;&gt;"",1,0)</f>
        <v>1</v>
      </c>
      <c r="Q569">
        <f>IF(calls[[#This Row],[Rating rounded]]=5,1,0)</f>
        <v>0</v>
      </c>
    </row>
    <row r="570" spans="2:17" x14ac:dyDescent="0.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c r="M570" s="7" t="str">
        <f>_xlfn.XLOOKUP(calls[[#This Row],[Customer ID]],customers[Customer ID],customers[City])</f>
        <v>Columbus</v>
      </c>
      <c r="N570" s="3" t="str">
        <f>_xlfn.XLOOKUP(calls[[#This Row],[Customer ID]],customers[Customer ID],customers[Gedner])</f>
        <v>Male</v>
      </c>
      <c r="P570">
        <f>IF(calls[[#This Row],[Call number]]&lt;&gt;"",1,0)</f>
        <v>1</v>
      </c>
      <c r="Q570">
        <f>IF(calls[[#This Row],[Rating rounded]]=5,1,0)</f>
        <v>0</v>
      </c>
    </row>
    <row r="571" spans="2:17" x14ac:dyDescent="0.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c r="M571" s="7" t="str">
        <f>_xlfn.XLOOKUP(calls[[#This Row],[Customer ID]],customers[Customer ID],customers[City])</f>
        <v>Cleveland</v>
      </c>
      <c r="N571" s="3" t="str">
        <f>_xlfn.XLOOKUP(calls[[#This Row],[Customer ID]],customers[Customer ID],customers[Gedner])</f>
        <v>Female</v>
      </c>
      <c r="P571">
        <f>IF(calls[[#This Row],[Call number]]&lt;&gt;"",1,0)</f>
        <v>1</v>
      </c>
      <c r="Q571">
        <f>IF(calls[[#This Row],[Rating rounded]]=5,1,0)</f>
        <v>1</v>
      </c>
    </row>
    <row r="572" spans="2:17" x14ac:dyDescent="0.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c r="M572" s="7" t="str">
        <f>_xlfn.XLOOKUP(calls[[#This Row],[Customer ID]],customers[Customer ID],customers[City])</f>
        <v>Columbus</v>
      </c>
      <c r="N572" s="3" t="str">
        <f>_xlfn.XLOOKUP(calls[[#This Row],[Customer ID]],customers[Customer ID],customers[Gedner])</f>
        <v>Male</v>
      </c>
      <c r="P572">
        <f>IF(calls[[#This Row],[Call number]]&lt;&gt;"",1,0)</f>
        <v>1</v>
      </c>
      <c r="Q572">
        <f>IF(calls[[#This Row],[Rating rounded]]=5,1,0)</f>
        <v>1</v>
      </c>
    </row>
    <row r="573" spans="2:17" x14ac:dyDescent="0.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c r="M573" s="7" t="str">
        <f>_xlfn.XLOOKUP(calls[[#This Row],[Customer ID]],customers[Customer ID],customers[City])</f>
        <v>Columbus</v>
      </c>
      <c r="N573" s="3" t="str">
        <f>_xlfn.XLOOKUP(calls[[#This Row],[Customer ID]],customers[Customer ID],customers[Gedner])</f>
        <v>Female</v>
      </c>
      <c r="P573">
        <f>IF(calls[[#This Row],[Call number]]&lt;&gt;"",1,0)</f>
        <v>1</v>
      </c>
      <c r="Q573">
        <f>IF(calls[[#This Row],[Rating rounded]]=5,1,0)</f>
        <v>0</v>
      </c>
    </row>
    <row r="574" spans="2:17" x14ac:dyDescent="0.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c r="M574" s="7" t="str">
        <f>_xlfn.XLOOKUP(calls[[#This Row],[Customer ID]],customers[Customer ID],customers[City])</f>
        <v>Cleveland</v>
      </c>
      <c r="N574" s="3" t="str">
        <f>_xlfn.XLOOKUP(calls[[#This Row],[Customer ID]],customers[Customer ID],customers[Gedner])</f>
        <v>Female</v>
      </c>
      <c r="P574">
        <f>IF(calls[[#This Row],[Call number]]&lt;&gt;"",1,0)</f>
        <v>1</v>
      </c>
      <c r="Q574">
        <f>IF(calls[[#This Row],[Rating rounded]]=5,1,0)</f>
        <v>1</v>
      </c>
    </row>
    <row r="575" spans="2:17" x14ac:dyDescent="0.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c r="M575" s="7" t="str">
        <f>_xlfn.XLOOKUP(calls[[#This Row],[Customer ID]],customers[Customer ID],customers[City])</f>
        <v>Cleveland</v>
      </c>
      <c r="N575" s="3" t="str">
        <f>_xlfn.XLOOKUP(calls[[#This Row],[Customer ID]],customers[Customer ID],customers[Gedner])</f>
        <v>Female</v>
      </c>
      <c r="P575">
        <f>IF(calls[[#This Row],[Call number]]&lt;&gt;"",1,0)</f>
        <v>1</v>
      </c>
      <c r="Q575">
        <f>IF(calls[[#This Row],[Rating rounded]]=5,1,0)</f>
        <v>1</v>
      </c>
    </row>
    <row r="576" spans="2:17" x14ac:dyDescent="0.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c r="M576" s="7" t="str">
        <f>_xlfn.XLOOKUP(calls[[#This Row],[Customer ID]],customers[Customer ID],customers[City])</f>
        <v>Cleveland</v>
      </c>
      <c r="N576" s="3" t="str">
        <f>_xlfn.XLOOKUP(calls[[#This Row],[Customer ID]],customers[Customer ID],customers[Gedner])</f>
        <v>Male</v>
      </c>
      <c r="P576">
        <f>IF(calls[[#This Row],[Call number]]&lt;&gt;"",1,0)</f>
        <v>1</v>
      </c>
      <c r="Q576">
        <f>IF(calls[[#This Row],[Rating rounded]]=5,1,0)</f>
        <v>0</v>
      </c>
    </row>
    <row r="577" spans="2:17" x14ac:dyDescent="0.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c r="M577" s="7" t="str">
        <f>_xlfn.XLOOKUP(calls[[#This Row],[Customer ID]],customers[Customer ID],customers[City])</f>
        <v>Columbus</v>
      </c>
      <c r="N577" s="3" t="str">
        <f>_xlfn.XLOOKUP(calls[[#This Row],[Customer ID]],customers[Customer ID],customers[Gedner])</f>
        <v>Male</v>
      </c>
      <c r="P577">
        <f>IF(calls[[#This Row],[Call number]]&lt;&gt;"",1,0)</f>
        <v>1</v>
      </c>
      <c r="Q577">
        <f>IF(calls[[#This Row],[Rating rounded]]=5,1,0)</f>
        <v>0</v>
      </c>
    </row>
    <row r="578" spans="2:17" x14ac:dyDescent="0.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c r="M578" s="7" t="str">
        <f>_xlfn.XLOOKUP(calls[[#This Row],[Customer ID]],customers[Customer ID],customers[City])</f>
        <v>Cleveland</v>
      </c>
      <c r="N578" s="3" t="str">
        <f>_xlfn.XLOOKUP(calls[[#This Row],[Customer ID]],customers[Customer ID],customers[Gedner])</f>
        <v>Female</v>
      </c>
      <c r="P578">
        <f>IF(calls[[#This Row],[Call number]]&lt;&gt;"",1,0)</f>
        <v>1</v>
      </c>
      <c r="Q578">
        <f>IF(calls[[#This Row],[Rating rounded]]=5,1,0)</f>
        <v>0</v>
      </c>
    </row>
    <row r="579" spans="2:17" x14ac:dyDescent="0.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c r="M579" s="7" t="str">
        <f>_xlfn.XLOOKUP(calls[[#This Row],[Customer ID]],customers[Customer ID],customers[City])</f>
        <v>Cleveland</v>
      </c>
      <c r="N579" s="3" t="str">
        <f>_xlfn.XLOOKUP(calls[[#This Row],[Customer ID]],customers[Customer ID],customers[Gedner])</f>
        <v>Female</v>
      </c>
      <c r="P579">
        <f>IF(calls[[#This Row],[Call number]]&lt;&gt;"",1,0)</f>
        <v>1</v>
      </c>
      <c r="Q579">
        <f>IF(calls[[#This Row],[Rating rounded]]=5,1,0)</f>
        <v>0</v>
      </c>
    </row>
    <row r="580" spans="2:17" x14ac:dyDescent="0.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c r="M580" s="7" t="str">
        <f>_xlfn.XLOOKUP(calls[[#This Row],[Customer ID]],customers[Customer ID],customers[City])</f>
        <v>Cincinnati</v>
      </c>
      <c r="N580" s="3" t="str">
        <f>_xlfn.XLOOKUP(calls[[#This Row],[Customer ID]],customers[Customer ID],customers[Gedner])</f>
        <v>Female</v>
      </c>
      <c r="P580">
        <f>IF(calls[[#This Row],[Call number]]&lt;&gt;"",1,0)</f>
        <v>1</v>
      </c>
      <c r="Q580">
        <f>IF(calls[[#This Row],[Rating rounded]]=5,1,0)</f>
        <v>1</v>
      </c>
    </row>
    <row r="581" spans="2:17" x14ac:dyDescent="0.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c r="M581" s="7" t="str">
        <f>_xlfn.XLOOKUP(calls[[#This Row],[Customer ID]],customers[Customer ID],customers[City])</f>
        <v>Cincinnati</v>
      </c>
      <c r="N581" s="3" t="str">
        <f>_xlfn.XLOOKUP(calls[[#This Row],[Customer ID]],customers[Customer ID],customers[Gedner])</f>
        <v>Male</v>
      </c>
      <c r="P581">
        <f>IF(calls[[#This Row],[Call number]]&lt;&gt;"",1,0)</f>
        <v>1</v>
      </c>
      <c r="Q581">
        <f>IF(calls[[#This Row],[Rating rounded]]=5,1,0)</f>
        <v>1</v>
      </c>
    </row>
    <row r="582" spans="2:17" x14ac:dyDescent="0.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c r="M582" s="7" t="str">
        <f>_xlfn.XLOOKUP(calls[[#This Row],[Customer ID]],customers[Customer ID],customers[City])</f>
        <v>Cleveland</v>
      </c>
      <c r="N582" s="3" t="str">
        <f>_xlfn.XLOOKUP(calls[[#This Row],[Customer ID]],customers[Customer ID],customers[Gedner])</f>
        <v>Female</v>
      </c>
      <c r="P582">
        <f>IF(calls[[#This Row],[Call number]]&lt;&gt;"",1,0)</f>
        <v>1</v>
      </c>
      <c r="Q582">
        <f>IF(calls[[#This Row],[Rating rounded]]=5,1,0)</f>
        <v>0</v>
      </c>
    </row>
    <row r="583" spans="2:17" x14ac:dyDescent="0.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c r="M583" s="7" t="str">
        <f>_xlfn.XLOOKUP(calls[[#This Row],[Customer ID]],customers[Customer ID],customers[City])</f>
        <v>Columbus</v>
      </c>
      <c r="N583" s="3" t="str">
        <f>_xlfn.XLOOKUP(calls[[#This Row],[Customer ID]],customers[Customer ID],customers[Gedner])</f>
        <v>Female</v>
      </c>
      <c r="P583">
        <f>IF(calls[[#This Row],[Call number]]&lt;&gt;"",1,0)</f>
        <v>1</v>
      </c>
      <c r="Q583">
        <f>IF(calls[[#This Row],[Rating rounded]]=5,1,0)</f>
        <v>0</v>
      </c>
    </row>
    <row r="584" spans="2:17" x14ac:dyDescent="0.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c r="M584" s="7" t="str">
        <f>_xlfn.XLOOKUP(calls[[#This Row],[Customer ID]],customers[Customer ID],customers[City])</f>
        <v>Cleveland</v>
      </c>
      <c r="N584" s="3" t="str">
        <f>_xlfn.XLOOKUP(calls[[#This Row],[Customer ID]],customers[Customer ID],customers[Gedner])</f>
        <v>Female</v>
      </c>
      <c r="P584">
        <f>IF(calls[[#This Row],[Call number]]&lt;&gt;"",1,0)</f>
        <v>1</v>
      </c>
      <c r="Q584">
        <f>IF(calls[[#This Row],[Rating rounded]]=5,1,0)</f>
        <v>0</v>
      </c>
    </row>
    <row r="585" spans="2:17" x14ac:dyDescent="0.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c r="M585" s="7" t="str">
        <f>_xlfn.XLOOKUP(calls[[#This Row],[Customer ID]],customers[Customer ID],customers[City])</f>
        <v>Cleveland</v>
      </c>
      <c r="N585" s="3" t="str">
        <f>_xlfn.XLOOKUP(calls[[#This Row],[Customer ID]],customers[Customer ID],customers[Gedner])</f>
        <v>Male</v>
      </c>
      <c r="P585">
        <f>IF(calls[[#This Row],[Call number]]&lt;&gt;"",1,0)</f>
        <v>1</v>
      </c>
      <c r="Q585">
        <f>IF(calls[[#This Row],[Rating rounded]]=5,1,0)</f>
        <v>0</v>
      </c>
    </row>
    <row r="586" spans="2:17" x14ac:dyDescent="0.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c r="M586" s="7" t="str">
        <f>_xlfn.XLOOKUP(calls[[#This Row],[Customer ID]],customers[Customer ID],customers[City])</f>
        <v>Columbus</v>
      </c>
      <c r="N586" s="3" t="str">
        <f>_xlfn.XLOOKUP(calls[[#This Row],[Customer ID]],customers[Customer ID],customers[Gedner])</f>
        <v>Male</v>
      </c>
      <c r="P586">
        <f>IF(calls[[#This Row],[Call number]]&lt;&gt;"",1,0)</f>
        <v>1</v>
      </c>
      <c r="Q586">
        <f>IF(calls[[#This Row],[Rating rounded]]=5,1,0)</f>
        <v>0</v>
      </c>
    </row>
    <row r="587" spans="2:17" x14ac:dyDescent="0.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c r="M587" s="7" t="str">
        <f>_xlfn.XLOOKUP(calls[[#This Row],[Customer ID]],customers[Customer ID],customers[City])</f>
        <v>Cleveland</v>
      </c>
      <c r="N587" s="3" t="str">
        <f>_xlfn.XLOOKUP(calls[[#This Row],[Customer ID]],customers[Customer ID],customers[Gedner])</f>
        <v>Female</v>
      </c>
      <c r="P587">
        <f>IF(calls[[#This Row],[Call number]]&lt;&gt;"",1,0)</f>
        <v>1</v>
      </c>
      <c r="Q587">
        <f>IF(calls[[#This Row],[Rating rounded]]=5,1,0)</f>
        <v>0</v>
      </c>
    </row>
    <row r="588" spans="2:17" x14ac:dyDescent="0.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c r="M588" s="7" t="str">
        <f>_xlfn.XLOOKUP(calls[[#This Row],[Customer ID]],customers[Customer ID],customers[City])</f>
        <v>Cleveland</v>
      </c>
      <c r="N588" s="3" t="str">
        <f>_xlfn.XLOOKUP(calls[[#This Row],[Customer ID]],customers[Customer ID],customers[Gedner])</f>
        <v>Female</v>
      </c>
      <c r="P588">
        <f>IF(calls[[#This Row],[Call number]]&lt;&gt;"",1,0)</f>
        <v>1</v>
      </c>
      <c r="Q588">
        <f>IF(calls[[#This Row],[Rating rounded]]=5,1,0)</f>
        <v>0</v>
      </c>
    </row>
    <row r="589" spans="2:17" x14ac:dyDescent="0.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c r="M589" s="7" t="str">
        <f>_xlfn.XLOOKUP(calls[[#This Row],[Customer ID]],customers[Customer ID],customers[City])</f>
        <v>Columbus</v>
      </c>
      <c r="N589" s="3" t="str">
        <f>_xlfn.XLOOKUP(calls[[#This Row],[Customer ID]],customers[Customer ID],customers[Gedner])</f>
        <v>Female</v>
      </c>
      <c r="P589">
        <f>IF(calls[[#This Row],[Call number]]&lt;&gt;"",1,0)</f>
        <v>1</v>
      </c>
      <c r="Q589">
        <f>IF(calls[[#This Row],[Rating rounded]]=5,1,0)</f>
        <v>1</v>
      </c>
    </row>
    <row r="590" spans="2:17" x14ac:dyDescent="0.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c r="M590" s="7" t="str">
        <f>_xlfn.XLOOKUP(calls[[#This Row],[Customer ID]],customers[Customer ID],customers[City])</f>
        <v>Cleveland</v>
      </c>
      <c r="N590" s="3" t="str">
        <f>_xlfn.XLOOKUP(calls[[#This Row],[Customer ID]],customers[Customer ID],customers[Gedner])</f>
        <v>Male</v>
      </c>
      <c r="P590">
        <f>IF(calls[[#This Row],[Call number]]&lt;&gt;"",1,0)</f>
        <v>1</v>
      </c>
      <c r="Q590">
        <f>IF(calls[[#This Row],[Rating rounded]]=5,1,0)</f>
        <v>0</v>
      </c>
    </row>
    <row r="591" spans="2:17" x14ac:dyDescent="0.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c r="M591" s="7" t="str">
        <f>_xlfn.XLOOKUP(calls[[#This Row],[Customer ID]],customers[Customer ID],customers[City])</f>
        <v>Cincinnati</v>
      </c>
      <c r="N591" s="3" t="str">
        <f>_xlfn.XLOOKUP(calls[[#This Row],[Customer ID]],customers[Customer ID],customers[Gedner])</f>
        <v>Female</v>
      </c>
      <c r="P591">
        <f>IF(calls[[#This Row],[Call number]]&lt;&gt;"",1,0)</f>
        <v>1</v>
      </c>
      <c r="Q591">
        <f>IF(calls[[#This Row],[Rating rounded]]=5,1,0)</f>
        <v>0</v>
      </c>
    </row>
    <row r="592" spans="2:17" x14ac:dyDescent="0.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c r="M592" s="7" t="str">
        <f>_xlfn.XLOOKUP(calls[[#This Row],[Customer ID]],customers[Customer ID],customers[City])</f>
        <v>Columbus</v>
      </c>
      <c r="N592" s="3" t="str">
        <f>_xlfn.XLOOKUP(calls[[#This Row],[Customer ID]],customers[Customer ID],customers[Gedner])</f>
        <v>Female</v>
      </c>
      <c r="P592">
        <f>IF(calls[[#This Row],[Call number]]&lt;&gt;"",1,0)</f>
        <v>1</v>
      </c>
      <c r="Q592">
        <f>IF(calls[[#This Row],[Rating rounded]]=5,1,0)</f>
        <v>0</v>
      </c>
    </row>
    <row r="593" spans="2:17" x14ac:dyDescent="0.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c r="M593" s="7" t="str">
        <f>_xlfn.XLOOKUP(calls[[#This Row],[Customer ID]],customers[Customer ID],customers[City])</f>
        <v>Columbus</v>
      </c>
      <c r="N593" s="3" t="str">
        <f>_xlfn.XLOOKUP(calls[[#This Row],[Customer ID]],customers[Customer ID],customers[Gedner])</f>
        <v>Male</v>
      </c>
      <c r="P593">
        <f>IF(calls[[#This Row],[Call number]]&lt;&gt;"",1,0)</f>
        <v>1</v>
      </c>
      <c r="Q593">
        <f>IF(calls[[#This Row],[Rating rounded]]=5,1,0)</f>
        <v>0</v>
      </c>
    </row>
    <row r="594" spans="2:17" x14ac:dyDescent="0.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c r="M594" s="7" t="str">
        <f>_xlfn.XLOOKUP(calls[[#This Row],[Customer ID]],customers[Customer ID],customers[City])</f>
        <v>Columbus</v>
      </c>
      <c r="N594" s="3" t="str">
        <f>_xlfn.XLOOKUP(calls[[#This Row],[Customer ID]],customers[Customer ID],customers[Gedner])</f>
        <v>Male</v>
      </c>
      <c r="P594">
        <f>IF(calls[[#This Row],[Call number]]&lt;&gt;"",1,0)</f>
        <v>1</v>
      </c>
      <c r="Q594">
        <f>IF(calls[[#This Row],[Rating rounded]]=5,1,0)</f>
        <v>0</v>
      </c>
    </row>
    <row r="595" spans="2:17" x14ac:dyDescent="0.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c r="M595" s="7" t="str">
        <f>_xlfn.XLOOKUP(calls[[#This Row],[Customer ID]],customers[Customer ID],customers[City])</f>
        <v>Columbus</v>
      </c>
      <c r="N595" s="3" t="str">
        <f>_xlfn.XLOOKUP(calls[[#This Row],[Customer ID]],customers[Customer ID],customers[Gedner])</f>
        <v>Male</v>
      </c>
      <c r="P595">
        <f>IF(calls[[#This Row],[Call number]]&lt;&gt;"",1,0)</f>
        <v>1</v>
      </c>
      <c r="Q595">
        <f>IF(calls[[#This Row],[Rating rounded]]=5,1,0)</f>
        <v>0</v>
      </c>
    </row>
    <row r="596" spans="2:17" x14ac:dyDescent="0.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c r="M596" s="7" t="str">
        <f>_xlfn.XLOOKUP(calls[[#This Row],[Customer ID]],customers[Customer ID],customers[City])</f>
        <v>Cleveland</v>
      </c>
      <c r="N596" s="3" t="str">
        <f>_xlfn.XLOOKUP(calls[[#This Row],[Customer ID]],customers[Customer ID],customers[Gedner])</f>
        <v>Female</v>
      </c>
      <c r="P596">
        <f>IF(calls[[#This Row],[Call number]]&lt;&gt;"",1,0)</f>
        <v>1</v>
      </c>
      <c r="Q596">
        <f>IF(calls[[#This Row],[Rating rounded]]=5,1,0)</f>
        <v>0</v>
      </c>
    </row>
    <row r="597" spans="2:17" x14ac:dyDescent="0.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c r="M597" s="7" t="str">
        <f>_xlfn.XLOOKUP(calls[[#This Row],[Customer ID]],customers[Customer ID],customers[City])</f>
        <v>Columbus</v>
      </c>
      <c r="N597" s="3" t="str">
        <f>_xlfn.XLOOKUP(calls[[#This Row],[Customer ID]],customers[Customer ID],customers[Gedner])</f>
        <v>Male</v>
      </c>
      <c r="P597">
        <f>IF(calls[[#This Row],[Call number]]&lt;&gt;"",1,0)</f>
        <v>1</v>
      </c>
      <c r="Q597">
        <f>IF(calls[[#This Row],[Rating rounded]]=5,1,0)</f>
        <v>0</v>
      </c>
    </row>
    <row r="598" spans="2:17" x14ac:dyDescent="0.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c r="M598" s="7" t="str">
        <f>_xlfn.XLOOKUP(calls[[#This Row],[Customer ID]],customers[Customer ID],customers[City])</f>
        <v>Cleveland</v>
      </c>
      <c r="N598" s="3" t="str">
        <f>_xlfn.XLOOKUP(calls[[#This Row],[Customer ID]],customers[Customer ID],customers[Gedner])</f>
        <v>Female</v>
      </c>
      <c r="P598">
        <f>IF(calls[[#This Row],[Call number]]&lt;&gt;"",1,0)</f>
        <v>1</v>
      </c>
      <c r="Q598">
        <f>IF(calls[[#This Row],[Rating rounded]]=5,1,0)</f>
        <v>0</v>
      </c>
    </row>
    <row r="599" spans="2:17" x14ac:dyDescent="0.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c r="M599" s="7" t="str">
        <f>_xlfn.XLOOKUP(calls[[#This Row],[Customer ID]],customers[Customer ID],customers[City])</f>
        <v>Cincinnati</v>
      </c>
      <c r="N599" s="3" t="str">
        <f>_xlfn.XLOOKUP(calls[[#This Row],[Customer ID]],customers[Customer ID],customers[Gedner])</f>
        <v>Male</v>
      </c>
      <c r="P599">
        <f>IF(calls[[#This Row],[Call number]]&lt;&gt;"",1,0)</f>
        <v>1</v>
      </c>
      <c r="Q599">
        <f>IF(calls[[#This Row],[Rating rounded]]=5,1,0)</f>
        <v>0</v>
      </c>
    </row>
    <row r="600" spans="2:17" x14ac:dyDescent="0.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c r="M600" s="7" t="str">
        <f>_xlfn.XLOOKUP(calls[[#This Row],[Customer ID]],customers[Customer ID],customers[City])</f>
        <v>Cleveland</v>
      </c>
      <c r="N600" s="3" t="str">
        <f>_xlfn.XLOOKUP(calls[[#This Row],[Customer ID]],customers[Customer ID],customers[Gedner])</f>
        <v>Female</v>
      </c>
      <c r="P600">
        <f>IF(calls[[#This Row],[Call number]]&lt;&gt;"",1,0)</f>
        <v>1</v>
      </c>
      <c r="Q600">
        <f>IF(calls[[#This Row],[Rating rounded]]=5,1,0)</f>
        <v>0</v>
      </c>
    </row>
    <row r="601" spans="2:17" x14ac:dyDescent="0.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c r="M601" s="7" t="str">
        <f>_xlfn.XLOOKUP(calls[[#This Row],[Customer ID]],customers[Customer ID],customers[City])</f>
        <v>Cincinnati</v>
      </c>
      <c r="N601" s="3" t="str">
        <f>_xlfn.XLOOKUP(calls[[#This Row],[Customer ID]],customers[Customer ID],customers[Gedner])</f>
        <v>Female</v>
      </c>
      <c r="P601">
        <f>IF(calls[[#This Row],[Call number]]&lt;&gt;"",1,0)</f>
        <v>1</v>
      </c>
      <c r="Q601">
        <f>IF(calls[[#This Row],[Rating rounded]]=5,1,0)</f>
        <v>0</v>
      </c>
    </row>
    <row r="602" spans="2:17" x14ac:dyDescent="0.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c r="M602" s="7" t="str">
        <f>_xlfn.XLOOKUP(calls[[#This Row],[Customer ID]],customers[Customer ID],customers[City])</f>
        <v>Cincinnati</v>
      </c>
      <c r="N602" s="3" t="str">
        <f>_xlfn.XLOOKUP(calls[[#This Row],[Customer ID]],customers[Customer ID],customers[Gedner])</f>
        <v>Male</v>
      </c>
      <c r="P602">
        <f>IF(calls[[#This Row],[Call number]]&lt;&gt;"",1,0)</f>
        <v>1</v>
      </c>
      <c r="Q602">
        <f>IF(calls[[#This Row],[Rating rounded]]=5,1,0)</f>
        <v>0</v>
      </c>
    </row>
    <row r="603" spans="2:17" x14ac:dyDescent="0.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c r="M603" s="7" t="str">
        <f>_xlfn.XLOOKUP(calls[[#This Row],[Customer ID]],customers[Customer ID],customers[City])</f>
        <v>Columbus</v>
      </c>
      <c r="N603" s="3" t="str">
        <f>_xlfn.XLOOKUP(calls[[#This Row],[Customer ID]],customers[Customer ID],customers[Gedner])</f>
        <v>Male</v>
      </c>
      <c r="P603">
        <f>IF(calls[[#This Row],[Call number]]&lt;&gt;"",1,0)</f>
        <v>1</v>
      </c>
      <c r="Q603">
        <f>IF(calls[[#This Row],[Rating rounded]]=5,1,0)</f>
        <v>1</v>
      </c>
    </row>
    <row r="604" spans="2:17" x14ac:dyDescent="0.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c r="M604" s="7" t="str">
        <f>_xlfn.XLOOKUP(calls[[#This Row],[Customer ID]],customers[Customer ID],customers[City])</f>
        <v>Cincinnati</v>
      </c>
      <c r="N604" s="3" t="str">
        <f>_xlfn.XLOOKUP(calls[[#This Row],[Customer ID]],customers[Customer ID],customers[Gedner])</f>
        <v>Female</v>
      </c>
      <c r="P604">
        <f>IF(calls[[#This Row],[Call number]]&lt;&gt;"",1,0)</f>
        <v>1</v>
      </c>
      <c r="Q604">
        <f>IF(calls[[#This Row],[Rating rounded]]=5,1,0)</f>
        <v>1</v>
      </c>
    </row>
    <row r="605" spans="2:17" x14ac:dyDescent="0.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c r="M605" s="7" t="str">
        <f>_xlfn.XLOOKUP(calls[[#This Row],[Customer ID]],customers[Customer ID],customers[City])</f>
        <v>Columbus</v>
      </c>
      <c r="N605" s="3" t="str">
        <f>_xlfn.XLOOKUP(calls[[#This Row],[Customer ID]],customers[Customer ID],customers[Gedner])</f>
        <v>Female</v>
      </c>
      <c r="P605">
        <f>IF(calls[[#This Row],[Call number]]&lt;&gt;"",1,0)</f>
        <v>1</v>
      </c>
      <c r="Q605">
        <f>IF(calls[[#This Row],[Rating rounded]]=5,1,0)</f>
        <v>1</v>
      </c>
    </row>
    <row r="606" spans="2:17" x14ac:dyDescent="0.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c r="M606" s="7" t="str">
        <f>_xlfn.XLOOKUP(calls[[#This Row],[Customer ID]],customers[Customer ID],customers[City])</f>
        <v>Cleveland</v>
      </c>
      <c r="N606" s="3" t="str">
        <f>_xlfn.XLOOKUP(calls[[#This Row],[Customer ID]],customers[Customer ID],customers[Gedner])</f>
        <v>Male</v>
      </c>
      <c r="P606">
        <f>IF(calls[[#This Row],[Call number]]&lt;&gt;"",1,0)</f>
        <v>1</v>
      </c>
      <c r="Q606">
        <f>IF(calls[[#This Row],[Rating rounded]]=5,1,0)</f>
        <v>1</v>
      </c>
    </row>
    <row r="607" spans="2:17" x14ac:dyDescent="0.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c r="M607" s="7" t="str">
        <f>_xlfn.XLOOKUP(calls[[#This Row],[Customer ID]],customers[Customer ID],customers[City])</f>
        <v>Cleveland</v>
      </c>
      <c r="N607" s="3" t="str">
        <f>_xlfn.XLOOKUP(calls[[#This Row],[Customer ID]],customers[Customer ID],customers[Gedner])</f>
        <v>Female</v>
      </c>
      <c r="P607">
        <f>IF(calls[[#This Row],[Call number]]&lt;&gt;"",1,0)</f>
        <v>1</v>
      </c>
      <c r="Q607">
        <f>IF(calls[[#This Row],[Rating rounded]]=5,1,0)</f>
        <v>1</v>
      </c>
    </row>
    <row r="608" spans="2:17" x14ac:dyDescent="0.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c r="M608" s="7" t="str">
        <f>_xlfn.XLOOKUP(calls[[#This Row],[Customer ID]],customers[Customer ID],customers[City])</f>
        <v>Cleveland</v>
      </c>
      <c r="N608" s="3" t="str">
        <f>_xlfn.XLOOKUP(calls[[#This Row],[Customer ID]],customers[Customer ID],customers[Gedner])</f>
        <v>Male</v>
      </c>
      <c r="P608">
        <f>IF(calls[[#This Row],[Call number]]&lt;&gt;"",1,0)</f>
        <v>1</v>
      </c>
      <c r="Q608">
        <f>IF(calls[[#This Row],[Rating rounded]]=5,1,0)</f>
        <v>1</v>
      </c>
    </row>
    <row r="609" spans="2:17" x14ac:dyDescent="0.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c r="M609" s="7" t="str">
        <f>_xlfn.XLOOKUP(calls[[#This Row],[Customer ID]],customers[Customer ID],customers[City])</f>
        <v>Cincinnati</v>
      </c>
      <c r="N609" s="3" t="str">
        <f>_xlfn.XLOOKUP(calls[[#This Row],[Customer ID]],customers[Customer ID],customers[Gedner])</f>
        <v>Male</v>
      </c>
      <c r="P609">
        <f>IF(calls[[#This Row],[Call number]]&lt;&gt;"",1,0)</f>
        <v>1</v>
      </c>
      <c r="Q609">
        <f>IF(calls[[#This Row],[Rating rounded]]=5,1,0)</f>
        <v>1</v>
      </c>
    </row>
    <row r="610" spans="2:17" x14ac:dyDescent="0.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c r="M610" s="7" t="str">
        <f>_xlfn.XLOOKUP(calls[[#This Row],[Customer ID]],customers[Customer ID],customers[City])</f>
        <v>Cleveland</v>
      </c>
      <c r="N610" s="3" t="str">
        <f>_xlfn.XLOOKUP(calls[[#This Row],[Customer ID]],customers[Customer ID],customers[Gedner])</f>
        <v>Male</v>
      </c>
      <c r="P610">
        <f>IF(calls[[#This Row],[Call number]]&lt;&gt;"",1,0)</f>
        <v>1</v>
      </c>
      <c r="Q610">
        <f>IF(calls[[#This Row],[Rating rounded]]=5,1,0)</f>
        <v>1</v>
      </c>
    </row>
    <row r="611" spans="2:17" x14ac:dyDescent="0.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c r="M611" s="7" t="str">
        <f>_xlfn.XLOOKUP(calls[[#This Row],[Customer ID]],customers[Customer ID],customers[City])</f>
        <v>Columbus</v>
      </c>
      <c r="N611" s="3" t="str">
        <f>_xlfn.XLOOKUP(calls[[#This Row],[Customer ID]],customers[Customer ID],customers[Gedner])</f>
        <v>Male</v>
      </c>
      <c r="P611">
        <f>IF(calls[[#This Row],[Call number]]&lt;&gt;"",1,0)</f>
        <v>1</v>
      </c>
      <c r="Q611">
        <f>IF(calls[[#This Row],[Rating rounded]]=5,1,0)</f>
        <v>0</v>
      </c>
    </row>
    <row r="612" spans="2:17" x14ac:dyDescent="0.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c r="M612" s="7" t="str">
        <f>_xlfn.XLOOKUP(calls[[#This Row],[Customer ID]],customers[Customer ID],customers[City])</f>
        <v>Columbus</v>
      </c>
      <c r="N612" s="3" t="str">
        <f>_xlfn.XLOOKUP(calls[[#This Row],[Customer ID]],customers[Customer ID],customers[Gedner])</f>
        <v>Female</v>
      </c>
      <c r="P612">
        <f>IF(calls[[#This Row],[Call number]]&lt;&gt;"",1,0)</f>
        <v>1</v>
      </c>
      <c r="Q612">
        <f>IF(calls[[#This Row],[Rating rounded]]=5,1,0)</f>
        <v>0</v>
      </c>
    </row>
    <row r="613" spans="2:17" x14ac:dyDescent="0.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c r="M613" s="7" t="str">
        <f>_xlfn.XLOOKUP(calls[[#This Row],[Customer ID]],customers[Customer ID],customers[City])</f>
        <v>Cleveland</v>
      </c>
      <c r="N613" s="3" t="str">
        <f>_xlfn.XLOOKUP(calls[[#This Row],[Customer ID]],customers[Customer ID],customers[Gedner])</f>
        <v>Female</v>
      </c>
      <c r="P613">
        <f>IF(calls[[#This Row],[Call number]]&lt;&gt;"",1,0)</f>
        <v>1</v>
      </c>
      <c r="Q613">
        <f>IF(calls[[#This Row],[Rating rounded]]=5,1,0)</f>
        <v>0</v>
      </c>
    </row>
    <row r="614" spans="2:17" x14ac:dyDescent="0.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c r="M614" s="7" t="str">
        <f>_xlfn.XLOOKUP(calls[[#This Row],[Customer ID]],customers[Customer ID],customers[City])</f>
        <v>Cincinnati</v>
      </c>
      <c r="N614" s="3" t="str">
        <f>_xlfn.XLOOKUP(calls[[#This Row],[Customer ID]],customers[Customer ID],customers[Gedner])</f>
        <v>Female</v>
      </c>
      <c r="P614">
        <f>IF(calls[[#This Row],[Call number]]&lt;&gt;"",1,0)</f>
        <v>1</v>
      </c>
      <c r="Q614">
        <f>IF(calls[[#This Row],[Rating rounded]]=5,1,0)</f>
        <v>1</v>
      </c>
    </row>
    <row r="615" spans="2:17" x14ac:dyDescent="0.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c r="M615" s="7" t="str">
        <f>_xlfn.XLOOKUP(calls[[#This Row],[Customer ID]],customers[Customer ID],customers[City])</f>
        <v>Cleveland</v>
      </c>
      <c r="N615" s="3" t="str">
        <f>_xlfn.XLOOKUP(calls[[#This Row],[Customer ID]],customers[Customer ID],customers[Gedner])</f>
        <v>Female</v>
      </c>
      <c r="P615">
        <f>IF(calls[[#This Row],[Call number]]&lt;&gt;"",1,0)</f>
        <v>1</v>
      </c>
      <c r="Q615">
        <f>IF(calls[[#This Row],[Rating rounded]]=5,1,0)</f>
        <v>1</v>
      </c>
    </row>
    <row r="616" spans="2:17" x14ac:dyDescent="0.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c r="M616" s="7" t="str">
        <f>_xlfn.XLOOKUP(calls[[#This Row],[Customer ID]],customers[Customer ID],customers[City])</f>
        <v>Columbus</v>
      </c>
      <c r="N616" s="3" t="str">
        <f>_xlfn.XLOOKUP(calls[[#This Row],[Customer ID]],customers[Customer ID],customers[Gedner])</f>
        <v>Male</v>
      </c>
      <c r="P616">
        <f>IF(calls[[#This Row],[Call number]]&lt;&gt;"",1,0)</f>
        <v>1</v>
      </c>
      <c r="Q616">
        <f>IF(calls[[#This Row],[Rating rounded]]=5,1,0)</f>
        <v>1</v>
      </c>
    </row>
    <row r="617" spans="2:17" x14ac:dyDescent="0.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c r="M617" s="7" t="str">
        <f>_xlfn.XLOOKUP(calls[[#This Row],[Customer ID]],customers[Customer ID],customers[City])</f>
        <v>Cleveland</v>
      </c>
      <c r="N617" s="3" t="str">
        <f>_xlfn.XLOOKUP(calls[[#This Row],[Customer ID]],customers[Customer ID],customers[Gedner])</f>
        <v>Female</v>
      </c>
      <c r="P617">
        <f>IF(calls[[#This Row],[Call number]]&lt;&gt;"",1,0)</f>
        <v>1</v>
      </c>
      <c r="Q617">
        <f>IF(calls[[#This Row],[Rating rounded]]=5,1,0)</f>
        <v>1</v>
      </c>
    </row>
    <row r="618" spans="2:17" x14ac:dyDescent="0.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c r="M618" s="7" t="str">
        <f>_xlfn.XLOOKUP(calls[[#This Row],[Customer ID]],customers[Customer ID],customers[City])</f>
        <v>Columbus</v>
      </c>
      <c r="N618" s="3" t="str">
        <f>_xlfn.XLOOKUP(calls[[#This Row],[Customer ID]],customers[Customer ID],customers[Gedner])</f>
        <v>Male</v>
      </c>
      <c r="P618">
        <f>IF(calls[[#This Row],[Call number]]&lt;&gt;"",1,0)</f>
        <v>1</v>
      </c>
      <c r="Q618">
        <f>IF(calls[[#This Row],[Rating rounded]]=5,1,0)</f>
        <v>0</v>
      </c>
    </row>
    <row r="619" spans="2:17" x14ac:dyDescent="0.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c r="M619" s="7" t="str">
        <f>_xlfn.XLOOKUP(calls[[#This Row],[Customer ID]],customers[Customer ID],customers[City])</f>
        <v>Columbus</v>
      </c>
      <c r="N619" s="3" t="str">
        <f>_xlfn.XLOOKUP(calls[[#This Row],[Customer ID]],customers[Customer ID],customers[Gedner])</f>
        <v>Female</v>
      </c>
      <c r="P619">
        <f>IF(calls[[#This Row],[Call number]]&lt;&gt;"",1,0)</f>
        <v>1</v>
      </c>
      <c r="Q619">
        <f>IF(calls[[#This Row],[Rating rounded]]=5,1,0)</f>
        <v>0</v>
      </c>
    </row>
    <row r="620" spans="2:17" x14ac:dyDescent="0.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c r="M620" s="7" t="str">
        <f>_xlfn.XLOOKUP(calls[[#This Row],[Customer ID]],customers[Customer ID],customers[City])</f>
        <v>Cleveland</v>
      </c>
      <c r="N620" s="3" t="str">
        <f>_xlfn.XLOOKUP(calls[[#This Row],[Customer ID]],customers[Customer ID],customers[Gedner])</f>
        <v>Female</v>
      </c>
      <c r="P620">
        <f>IF(calls[[#This Row],[Call number]]&lt;&gt;"",1,0)</f>
        <v>1</v>
      </c>
      <c r="Q620">
        <f>IF(calls[[#This Row],[Rating rounded]]=5,1,0)</f>
        <v>0</v>
      </c>
    </row>
    <row r="621" spans="2:17" x14ac:dyDescent="0.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c r="M621" s="7" t="str">
        <f>_xlfn.XLOOKUP(calls[[#This Row],[Customer ID]],customers[Customer ID],customers[City])</f>
        <v>Cincinnati</v>
      </c>
      <c r="N621" s="3" t="str">
        <f>_xlfn.XLOOKUP(calls[[#This Row],[Customer ID]],customers[Customer ID],customers[Gedner])</f>
        <v>Male</v>
      </c>
      <c r="P621">
        <f>IF(calls[[#This Row],[Call number]]&lt;&gt;"",1,0)</f>
        <v>1</v>
      </c>
      <c r="Q621">
        <f>IF(calls[[#This Row],[Rating rounded]]=5,1,0)</f>
        <v>1</v>
      </c>
    </row>
    <row r="622" spans="2:17" x14ac:dyDescent="0.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c r="M622" s="7" t="str">
        <f>_xlfn.XLOOKUP(calls[[#This Row],[Customer ID]],customers[Customer ID],customers[City])</f>
        <v>Cleveland</v>
      </c>
      <c r="N622" s="3" t="str">
        <f>_xlfn.XLOOKUP(calls[[#This Row],[Customer ID]],customers[Customer ID],customers[Gedner])</f>
        <v>Female</v>
      </c>
      <c r="P622">
        <f>IF(calls[[#This Row],[Call number]]&lt;&gt;"",1,0)</f>
        <v>1</v>
      </c>
      <c r="Q622">
        <f>IF(calls[[#This Row],[Rating rounded]]=5,1,0)</f>
        <v>0</v>
      </c>
    </row>
    <row r="623" spans="2:17" x14ac:dyDescent="0.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c r="M623" s="7" t="str">
        <f>_xlfn.XLOOKUP(calls[[#This Row],[Customer ID]],customers[Customer ID],customers[City])</f>
        <v>Columbus</v>
      </c>
      <c r="N623" s="3" t="str">
        <f>_xlfn.XLOOKUP(calls[[#This Row],[Customer ID]],customers[Customer ID],customers[Gedner])</f>
        <v>Male</v>
      </c>
      <c r="P623">
        <f>IF(calls[[#This Row],[Call number]]&lt;&gt;"",1,0)</f>
        <v>1</v>
      </c>
      <c r="Q623">
        <f>IF(calls[[#This Row],[Rating rounded]]=5,1,0)</f>
        <v>0</v>
      </c>
    </row>
    <row r="624" spans="2:17" x14ac:dyDescent="0.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c r="M624" s="7" t="str">
        <f>_xlfn.XLOOKUP(calls[[#This Row],[Customer ID]],customers[Customer ID],customers[City])</f>
        <v>Cincinnati</v>
      </c>
      <c r="N624" s="3" t="str">
        <f>_xlfn.XLOOKUP(calls[[#This Row],[Customer ID]],customers[Customer ID],customers[Gedner])</f>
        <v>Male</v>
      </c>
      <c r="P624">
        <f>IF(calls[[#This Row],[Call number]]&lt;&gt;"",1,0)</f>
        <v>1</v>
      </c>
      <c r="Q624">
        <f>IF(calls[[#This Row],[Rating rounded]]=5,1,0)</f>
        <v>1</v>
      </c>
    </row>
    <row r="625" spans="2:17" x14ac:dyDescent="0.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c r="M625" s="7" t="str">
        <f>_xlfn.XLOOKUP(calls[[#This Row],[Customer ID]],customers[Customer ID],customers[City])</f>
        <v>Cincinnati</v>
      </c>
      <c r="N625" s="3" t="str">
        <f>_xlfn.XLOOKUP(calls[[#This Row],[Customer ID]],customers[Customer ID],customers[Gedner])</f>
        <v>Male</v>
      </c>
      <c r="P625">
        <f>IF(calls[[#This Row],[Call number]]&lt;&gt;"",1,0)</f>
        <v>1</v>
      </c>
      <c r="Q625">
        <f>IF(calls[[#This Row],[Rating rounded]]=5,1,0)</f>
        <v>1</v>
      </c>
    </row>
    <row r="626" spans="2:17" x14ac:dyDescent="0.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c r="M626" s="7" t="str">
        <f>_xlfn.XLOOKUP(calls[[#This Row],[Customer ID]],customers[Customer ID],customers[City])</f>
        <v>Columbus</v>
      </c>
      <c r="N626" s="3" t="str">
        <f>_xlfn.XLOOKUP(calls[[#This Row],[Customer ID]],customers[Customer ID],customers[Gedner])</f>
        <v>Male</v>
      </c>
      <c r="P626">
        <f>IF(calls[[#This Row],[Call number]]&lt;&gt;"",1,0)</f>
        <v>1</v>
      </c>
      <c r="Q626">
        <f>IF(calls[[#This Row],[Rating rounded]]=5,1,0)</f>
        <v>0</v>
      </c>
    </row>
    <row r="627" spans="2:17" x14ac:dyDescent="0.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c r="M627" s="7" t="str">
        <f>_xlfn.XLOOKUP(calls[[#This Row],[Customer ID]],customers[Customer ID],customers[City])</f>
        <v>Columbus</v>
      </c>
      <c r="N627" s="3" t="str">
        <f>_xlfn.XLOOKUP(calls[[#This Row],[Customer ID]],customers[Customer ID],customers[Gedner])</f>
        <v>Female</v>
      </c>
      <c r="P627">
        <f>IF(calls[[#This Row],[Call number]]&lt;&gt;"",1,0)</f>
        <v>1</v>
      </c>
      <c r="Q627">
        <f>IF(calls[[#This Row],[Rating rounded]]=5,1,0)</f>
        <v>0</v>
      </c>
    </row>
    <row r="628" spans="2:17" x14ac:dyDescent="0.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c r="M628" s="7" t="str">
        <f>_xlfn.XLOOKUP(calls[[#This Row],[Customer ID]],customers[Customer ID],customers[City])</f>
        <v>Cincinnati</v>
      </c>
      <c r="N628" s="3" t="str">
        <f>_xlfn.XLOOKUP(calls[[#This Row],[Customer ID]],customers[Customer ID],customers[Gedner])</f>
        <v>Female</v>
      </c>
      <c r="P628">
        <f>IF(calls[[#This Row],[Call number]]&lt;&gt;"",1,0)</f>
        <v>1</v>
      </c>
      <c r="Q628">
        <f>IF(calls[[#This Row],[Rating rounded]]=5,1,0)</f>
        <v>1</v>
      </c>
    </row>
    <row r="629" spans="2:17" x14ac:dyDescent="0.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c r="M629" s="7" t="str">
        <f>_xlfn.XLOOKUP(calls[[#This Row],[Customer ID]],customers[Customer ID],customers[City])</f>
        <v>Cincinnati</v>
      </c>
      <c r="N629" s="3" t="str">
        <f>_xlfn.XLOOKUP(calls[[#This Row],[Customer ID]],customers[Customer ID],customers[Gedner])</f>
        <v>Male</v>
      </c>
      <c r="P629">
        <f>IF(calls[[#This Row],[Call number]]&lt;&gt;"",1,0)</f>
        <v>1</v>
      </c>
      <c r="Q629">
        <f>IF(calls[[#This Row],[Rating rounded]]=5,1,0)</f>
        <v>0</v>
      </c>
    </row>
    <row r="630" spans="2:17" x14ac:dyDescent="0.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c r="M630" s="7" t="str">
        <f>_xlfn.XLOOKUP(calls[[#This Row],[Customer ID]],customers[Customer ID],customers[City])</f>
        <v>Cincinnati</v>
      </c>
      <c r="N630" s="3" t="str">
        <f>_xlfn.XLOOKUP(calls[[#This Row],[Customer ID]],customers[Customer ID],customers[Gedner])</f>
        <v>Male</v>
      </c>
      <c r="P630">
        <f>IF(calls[[#This Row],[Call number]]&lt;&gt;"",1,0)</f>
        <v>1</v>
      </c>
      <c r="Q630">
        <f>IF(calls[[#This Row],[Rating rounded]]=5,1,0)</f>
        <v>0</v>
      </c>
    </row>
    <row r="631" spans="2:17" x14ac:dyDescent="0.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c r="M631" s="7" t="str">
        <f>_xlfn.XLOOKUP(calls[[#This Row],[Customer ID]],customers[Customer ID],customers[City])</f>
        <v>Cleveland</v>
      </c>
      <c r="N631" s="3" t="str">
        <f>_xlfn.XLOOKUP(calls[[#This Row],[Customer ID]],customers[Customer ID],customers[Gedner])</f>
        <v>Female</v>
      </c>
      <c r="P631">
        <f>IF(calls[[#This Row],[Call number]]&lt;&gt;"",1,0)</f>
        <v>1</v>
      </c>
      <c r="Q631">
        <f>IF(calls[[#This Row],[Rating rounded]]=5,1,0)</f>
        <v>0</v>
      </c>
    </row>
    <row r="632" spans="2:17" x14ac:dyDescent="0.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c r="M632" s="7" t="str">
        <f>_xlfn.XLOOKUP(calls[[#This Row],[Customer ID]],customers[Customer ID],customers[City])</f>
        <v>Columbus</v>
      </c>
      <c r="N632" s="3" t="str">
        <f>_xlfn.XLOOKUP(calls[[#This Row],[Customer ID]],customers[Customer ID],customers[Gedner])</f>
        <v>Female</v>
      </c>
      <c r="P632">
        <f>IF(calls[[#This Row],[Call number]]&lt;&gt;"",1,0)</f>
        <v>1</v>
      </c>
      <c r="Q632">
        <f>IF(calls[[#This Row],[Rating rounded]]=5,1,0)</f>
        <v>0</v>
      </c>
    </row>
    <row r="633" spans="2:17" x14ac:dyDescent="0.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c r="M633" s="7" t="str">
        <f>_xlfn.XLOOKUP(calls[[#This Row],[Customer ID]],customers[Customer ID],customers[City])</f>
        <v>Cincinnati</v>
      </c>
      <c r="N633" s="3" t="str">
        <f>_xlfn.XLOOKUP(calls[[#This Row],[Customer ID]],customers[Customer ID],customers[Gedner])</f>
        <v>Male</v>
      </c>
      <c r="P633">
        <f>IF(calls[[#This Row],[Call number]]&lt;&gt;"",1,0)</f>
        <v>1</v>
      </c>
      <c r="Q633">
        <f>IF(calls[[#This Row],[Rating rounded]]=5,1,0)</f>
        <v>0</v>
      </c>
    </row>
    <row r="634" spans="2:17" x14ac:dyDescent="0.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c r="M634" s="7" t="str">
        <f>_xlfn.XLOOKUP(calls[[#This Row],[Customer ID]],customers[Customer ID],customers[City])</f>
        <v>Cincinnati</v>
      </c>
      <c r="N634" s="3" t="str">
        <f>_xlfn.XLOOKUP(calls[[#This Row],[Customer ID]],customers[Customer ID],customers[Gedner])</f>
        <v>Male</v>
      </c>
      <c r="P634">
        <f>IF(calls[[#This Row],[Call number]]&lt;&gt;"",1,0)</f>
        <v>1</v>
      </c>
      <c r="Q634">
        <f>IF(calls[[#This Row],[Rating rounded]]=5,1,0)</f>
        <v>0</v>
      </c>
    </row>
    <row r="635" spans="2:17" x14ac:dyDescent="0.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c r="M635" s="7" t="str">
        <f>_xlfn.XLOOKUP(calls[[#This Row],[Customer ID]],customers[Customer ID],customers[City])</f>
        <v>Columbus</v>
      </c>
      <c r="N635" s="3" t="str">
        <f>_xlfn.XLOOKUP(calls[[#This Row],[Customer ID]],customers[Customer ID],customers[Gedner])</f>
        <v>Female</v>
      </c>
      <c r="P635">
        <f>IF(calls[[#This Row],[Call number]]&lt;&gt;"",1,0)</f>
        <v>1</v>
      </c>
      <c r="Q635">
        <f>IF(calls[[#This Row],[Rating rounded]]=5,1,0)</f>
        <v>0</v>
      </c>
    </row>
    <row r="636" spans="2:17" x14ac:dyDescent="0.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c r="M636" s="7" t="str">
        <f>_xlfn.XLOOKUP(calls[[#This Row],[Customer ID]],customers[Customer ID],customers[City])</f>
        <v>Columbus</v>
      </c>
      <c r="N636" s="3" t="str">
        <f>_xlfn.XLOOKUP(calls[[#This Row],[Customer ID]],customers[Customer ID],customers[Gedner])</f>
        <v>Female</v>
      </c>
      <c r="P636">
        <f>IF(calls[[#This Row],[Call number]]&lt;&gt;"",1,0)</f>
        <v>1</v>
      </c>
      <c r="Q636">
        <f>IF(calls[[#This Row],[Rating rounded]]=5,1,0)</f>
        <v>0</v>
      </c>
    </row>
    <row r="637" spans="2:17" x14ac:dyDescent="0.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c r="M637" s="7" t="str">
        <f>_xlfn.XLOOKUP(calls[[#This Row],[Customer ID]],customers[Customer ID],customers[City])</f>
        <v>Columbus</v>
      </c>
      <c r="N637" s="3" t="str">
        <f>_xlfn.XLOOKUP(calls[[#This Row],[Customer ID]],customers[Customer ID],customers[Gedner])</f>
        <v>Female</v>
      </c>
      <c r="P637">
        <f>IF(calls[[#This Row],[Call number]]&lt;&gt;"",1,0)</f>
        <v>1</v>
      </c>
      <c r="Q637">
        <f>IF(calls[[#This Row],[Rating rounded]]=5,1,0)</f>
        <v>0</v>
      </c>
    </row>
    <row r="638" spans="2:17" x14ac:dyDescent="0.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c r="M638" s="7" t="str">
        <f>_xlfn.XLOOKUP(calls[[#This Row],[Customer ID]],customers[Customer ID],customers[City])</f>
        <v>Cincinnati</v>
      </c>
      <c r="N638" s="3" t="str">
        <f>_xlfn.XLOOKUP(calls[[#This Row],[Customer ID]],customers[Customer ID],customers[Gedner])</f>
        <v>Female</v>
      </c>
      <c r="P638">
        <f>IF(calls[[#This Row],[Call number]]&lt;&gt;"",1,0)</f>
        <v>1</v>
      </c>
      <c r="Q638">
        <f>IF(calls[[#This Row],[Rating rounded]]=5,1,0)</f>
        <v>0</v>
      </c>
    </row>
    <row r="639" spans="2:17" x14ac:dyDescent="0.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c r="M639" s="7" t="str">
        <f>_xlfn.XLOOKUP(calls[[#This Row],[Customer ID]],customers[Customer ID],customers[City])</f>
        <v>Columbus</v>
      </c>
      <c r="N639" s="3" t="str">
        <f>_xlfn.XLOOKUP(calls[[#This Row],[Customer ID]],customers[Customer ID],customers[Gedner])</f>
        <v>Female</v>
      </c>
      <c r="P639">
        <f>IF(calls[[#This Row],[Call number]]&lt;&gt;"",1,0)</f>
        <v>1</v>
      </c>
      <c r="Q639">
        <f>IF(calls[[#This Row],[Rating rounded]]=5,1,0)</f>
        <v>1</v>
      </c>
    </row>
    <row r="640" spans="2:17" x14ac:dyDescent="0.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c r="M640" s="7" t="str">
        <f>_xlfn.XLOOKUP(calls[[#This Row],[Customer ID]],customers[Customer ID],customers[City])</f>
        <v>Columbus</v>
      </c>
      <c r="N640" s="3" t="str">
        <f>_xlfn.XLOOKUP(calls[[#This Row],[Customer ID]],customers[Customer ID],customers[Gedner])</f>
        <v>Female</v>
      </c>
      <c r="P640">
        <f>IF(calls[[#This Row],[Call number]]&lt;&gt;"",1,0)</f>
        <v>1</v>
      </c>
      <c r="Q640">
        <f>IF(calls[[#This Row],[Rating rounded]]=5,1,0)</f>
        <v>1</v>
      </c>
    </row>
    <row r="641" spans="2:17" x14ac:dyDescent="0.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c r="M641" s="7" t="str">
        <f>_xlfn.XLOOKUP(calls[[#This Row],[Customer ID]],customers[Customer ID],customers[City])</f>
        <v>Cleveland</v>
      </c>
      <c r="N641" s="3" t="str">
        <f>_xlfn.XLOOKUP(calls[[#This Row],[Customer ID]],customers[Customer ID],customers[Gedner])</f>
        <v>Female</v>
      </c>
      <c r="P641">
        <f>IF(calls[[#This Row],[Call number]]&lt;&gt;"",1,0)</f>
        <v>1</v>
      </c>
      <c r="Q641">
        <f>IF(calls[[#This Row],[Rating rounded]]=5,1,0)</f>
        <v>0</v>
      </c>
    </row>
    <row r="642" spans="2:17" x14ac:dyDescent="0.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c r="M642" s="7" t="str">
        <f>_xlfn.XLOOKUP(calls[[#This Row],[Customer ID]],customers[Customer ID],customers[City])</f>
        <v>Cincinnati</v>
      </c>
      <c r="N642" s="3" t="str">
        <f>_xlfn.XLOOKUP(calls[[#This Row],[Customer ID]],customers[Customer ID],customers[Gedner])</f>
        <v>Male</v>
      </c>
      <c r="P642">
        <f>IF(calls[[#This Row],[Call number]]&lt;&gt;"",1,0)</f>
        <v>1</v>
      </c>
      <c r="Q642">
        <f>IF(calls[[#This Row],[Rating rounded]]=5,1,0)</f>
        <v>0</v>
      </c>
    </row>
    <row r="643" spans="2:17" x14ac:dyDescent="0.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c r="M643" s="7" t="str">
        <f>_xlfn.XLOOKUP(calls[[#This Row],[Customer ID]],customers[Customer ID],customers[City])</f>
        <v>Columbus</v>
      </c>
      <c r="N643" s="3" t="str">
        <f>_xlfn.XLOOKUP(calls[[#This Row],[Customer ID]],customers[Customer ID],customers[Gedner])</f>
        <v>Female</v>
      </c>
      <c r="P643">
        <f>IF(calls[[#This Row],[Call number]]&lt;&gt;"",1,0)</f>
        <v>1</v>
      </c>
      <c r="Q643">
        <f>IF(calls[[#This Row],[Rating rounded]]=5,1,0)</f>
        <v>0</v>
      </c>
    </row>
    <row r="644" spans="2:17" x14ac:dyDescent="0.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c r="M644" s="7" t="str">
        <f>_xlfn.XLOOKUP(calls[[#This Row],[Customer ID]],customers[Customer ID],customers[City])</f>
        <v>Cincinnati</v>
      </c>
      <c r="N644" s="3" t="str">
        <f>_xlfn.XLOOKUP(calls[[#This Row],[Customer ID]],customers[Customer ID],customers[Gedner])</f>
        <v>Female</v>
      </c>
      <c r="P644">
        <f>IF(calls[[#This Row],[Call number]]&lt;&gt;"",1,0)</f>
        <v>1</v>
      </c>
      <c r="Q644">
        <f>IF(calls[[#This Row],[Rating rounded]]=5,1,0)</f>
        <v>0</v>
      </c>
    </row>
    <row r="645" spans="2:17" x14ac:dyDescent="0.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c r="M645" s="7" t="str">
        <f>_xlfn.XLOOKUP(calls[[#This Row],[Customer ID]],customers[Customer ID],customers[City])</f>
        <v>Cincinnati</v>
      </c>
      <c r="N645" s="3" t="str">
        <f>_xlfn.XLOOKUP(calls[[#This Row],[Customer ID]],customers[Customer ID],customers[Gedner])</f>
        <v>Male</v>
      </c>
      <c r="P645">
        <f>IF(calls[[#This Row],[Call number]]&lt;&gt;"",1,0)</f>
        <v>1</v>
      </c>
      <c r="Q645">
        <f>IF(calls[[#This Row],[Rating rounded]]=5,1,0)</f>
        <v>0</v>
      </c>
    </row>
    <row r="646" spans="2:17" x14ac:dyDescent="0.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c r="M646" s="7" t="str">
        <f>_xlfn.XLOOKUP(calls[[#This Row],[Customer ID]],customers[Customer ID],customers[City])</f>
        <v>Columbus</v>
      </c>
      <c r="N646" s="3" t="str">
        <f>_xlfn.XLOOKUP(calls[[#This Row],[Customer ID]],customers[Customer ID],customers[Gedner])</f>
        <v>Male</v>
      </c>
      <c r="P646">
        <f>IF(calls[[#This Row],[Call number]]&lt;&gt;"",1,0)</f>
        <v>1</v>
      </c>
      <c r="Q646">
        <f>IF(calls[[#This Row],[Rating rounded]]=5,1,0)</f>
        <v>0</v>
      </c>
    </row>
    <row r="647" spans="2:17" x14ac:dyDescent="0.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c r="M647" s="7" t="str">
        <f>_xlfn.XLOOKUP(calls[[#This Row],[Customer ID]],customers[Customer ID],customers[City])</f>
        <v>Cincinnati</v>
      </c>
      <c r="N647" s="3" t="str">
        <f>_xlfn.XLOOKUP(calls[[#This Row],[Customer ID]],customers[Customer ID],customers[Gedner])</f>
        <v>Male</v>
      </c>
      <c r="P647">
        <f>IF(calls[[#This Row],[Call number]]&lt;&gt;"",1,0)</f>
        <v>1</v>
      </c>
      <c r="Q647">
        <f>IF(calls[[#This Row],[Rating rounded]]=5,1,0)</f>
        <v>0</v>
      </c>
    </row>
    <row r="648" spans="2:17" x14ac:dyDescent="0.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c r="M648" s="7" t="str">
        <f>_xlfn.XLOOKUP(calls[[#This Row],[Customer ID]],customers[Customer ID],customers[City])</f>
        <v>Columbus</v>
      </c>
      <c r="N648" s="3" t="str">
        <f>_xlfn.XLOOKUP(calls[[#This Row],[Customer ID]],customers[Customer ID],customers[Gedner])</f>
        <v>Male</v>
      </c>
      <c r="P648">
        <f>IF(calls[[#This Row],[Call number]]&lt;&gt;"",1,0)</f>
        <v>1</v>
      </c>
      <c r="Q648">
        <f>IF(calls[[#This Row],[Rating rounded]]=5,1,0)</f>
        <v>0</v>
      </c>
    </row>
    <row r="649" spans="2:17" x14ac:dyDescent="0.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c r="M649" s="7" t="str">
        <f>_xlfn.XLOOKUP(calls[[#This Row],[Customer ID]],customers[Customer ID],customers[City])</f>
        <v>Cleveland</v>
      </c>
      <c r="N649" s="3" t="str">
        <f>_xlfn.XLOOKUP(calls[[#This Row],[Customer ID]],customers[Customer ID],customers[Gedner])</f>
        <v>Male</v>
      </c>
      <c r="P649">
        <f>IF(calls[[#This Row],[Call number]]&lt;&gt;"",1,0)</f>
        <v>1</v>
      </c>
      <c r="Q649">
        <f>IF(calls[[#This Row],[Rating rounded]]=5,1,0)</f>
        <v>0</v>
      </c>
    </row>
    <row r="650" spans="2:17" x14ac:dyDescent="0.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c r="M650" s="7" t="str">
        <f>_xlfn.XLOOKUP(calls[[#This Row],[Customer ID]],customers[Customer ID],customers[City])</f>
        <v>Cincinnati</v>
      </c>
      <c r="N650" s="3" t="str">
        <f>_xlfn.XLOOKUP(calls[[#This Row],[Customer ID]],customers[Customer ID],customers[Gedner])</f>
        <v>Male</v>
      </c>
      <c r="P650">
        <f>IF(calls[[#This Row],[Call number]]&lt;&gt;"",1,0)</f>
        <v>1</v>
      </c>
      <c r="Q650">
        <f>IF(calls[[#This Row],[Rating rounded]]=5,1,0)</f>
        <v>1</v>
      </c>
    </row>
    <row r="651" spans="2:17" x14ac:dyDescent="0.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c r="M651" s="7" t="str">
        <f>_xlfn.XLOOKUP(calls[[#This Row],[Customer ID]],customers[Customer ID],customers[City])</f>
        <v>Columbus</v>
      </c>
      <c r="N651" s="3" t="str">
        <f>_xlfn.XLOOKUP(calls[[#This Row],[Customer ID]],customers[Customer ID],customers[Gedner])</f>
        <v>Male</v>
      </c>
      <c r="P651">
        <f>IF(calls[[#This Row],[Call number]]&lt;&gt;"",1,0)</f>
        <v>1</v>
      </c>
      <c r="Q651">
        <f>IF(calls[[#This Row],[Rating rounded]]=5,1,0)</f>
        <v>0</v>
      </c>
    </row>
    <row r="652" spans="2:17" x14ac:dyDescent="0.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c r="M652" s="7" t="str">
        <f>_xlfn.XLOOKUP(calls[[#This Row],[Customer ID]],customers[Customer ID],customers[City])</f>
        <v>Cleveland</v>
      </c>
      <c r="N652" s="3" t="str">
        <f>_xlfn.XLOOKUP(calls[[#This Row],[Customer ID]],customers[Customer ID],customers[Gedner])</f>
        <v>Female</v>
      </c>
      <c r="P652">
        <f>IF(calls[[#This Row],[Call number]]&lt;&gt;"",1,0)</f>
        <v>1</v>
      </c>
      <c r="Q652">
        <f>IF(calls[[#This Row],[Rating rounded]]=5,1,0)</f>
        <v>1</v>
      </c>
    </row>
    <row r="653" spans="2:17" x14ac:dyDescent="0.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c r="M653" s="7" t="str">
        <f>_xlfn.XLOOKUP(calls[[#This Row],[Customer ID]],customers[Customer ID],customers[City])</f>
        <v>Cincinnati</v>
      </c>
      <c r="N653" s="3" t="str">
        <f>_xlfn.XLOOKUP(calls[[#This Row],[Customer ID]],customers[Customer ID],customers[Gedner])</f>
        <v>Female</v>
      </c>
      <c r="P653">
        <f>IF(calls[[#This Row],[Call number]]&lt;&gt;"",1,0)</f>
        <v>1</v>
      </c>
      <c r="Q653">
        <f>IF(calls[[#This Row],[Rating rounded]]=5,1,0)</f>
        <v>0</v>
      </c>
    </row>
    <row r="654" spans="2:17" x14ac:dyDescent="0.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c r="M654" s="7" t="str">
        <f>_xlfn.XLOOKUP(calls[[#This Row],[Customer ID]],customers[Customer ID],customers[City])</f>
        <v>Cleveland</v>
      </c>
      <c r="N654" s="3" t="str">
        <f>_xlfn.XLOOKUP(calls[[#This Row],[Customer ID]],customers[Customer ID],customers[Gedner])</f>
        <v>Female</v>
      </c>
      <c r="P654">
        <f>IF(calls[[#This Row],[Call number]]&lt;&gt;"",1,0)</f>
        <v>1</v>
      </c>
      <c r="Q654">
        <f>IF(calls[[#This Row],[Rating rounded]]=5,1,0)</f>
        <v>0</v>
      </c>
    </row>
    <row r="655" spans="2:17" x14ac:dyDescent="0.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c r="M655" s="7" t="str">
        <f>_xlfn.XLOOKUP(calls[[#This Row],[Customer ID]],customers[Customer ID],customers[City])</f>
        <v>Columbus</v>
      </c>
      <c r="N655" s="3" t="str">
        <f>_xlfn.XLOOKUP(calls[[#This Row],[Customer ID]],customers[Customer ID],customers[Gedner])</f>
        <v>Male</v>
      </c>
      <c r="P655">
        <f>IF(calls[[#This Row],[Call number]]&lt;&gt;"",1,0)</f>
        <v>1</v>
      </c>
      <c r="Q655">
        <f>IF(calls[[#This Row],[Rating rounded]]=5,1,0)</f>
        <v>1</v>
      </c>
    </row>
    <row r="656" spans="2:17" x14ac:dyDescent="0.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c r="M656" s="7" t="str">
        <f>_xlfn.XLOOKUP(calls[[#This Row],[Customer ID]],customers[Customer ID],customers[City])</f>
        <v>Columbus</v>
      </c>
      <c r="N656" s="3" t="str">
        <f>_xlfn.XLOOKUP(calls[[#This Row],[Customer ID]],customers[Customer ID],customers[Gedner])</f>
        <v>Male</v>
      </c>
      <c r="P656">
        <f>IF(calls[[#This Row],[Call number]]&lt;&gt;"",1,0)</f>
        <v>1</v>
      </c>
      <c r="Q656">
        <f>IF(calls[[#This Row],[Rating rounded]]=5,1,0)</f>
        <v>0</v>
      </c>
    </row>
    <row r="657" spans="2:17" x14ac:dyDescent="0.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c r="M657" s="7" t="str">
        <f>_xlfn.XLOOKUP(calls[[#This Row],[Customer ID]],customers[Customer ID],customers[City])</f>
        <v>Cincinnati</v>
      </c>
      <c r="N657" s="3" t="str">
        <f>_xlfn.XLOOKUP(calls[[#This Row],[Customer ID]],customers[Customer ID],customers[Gedner])</f>
        <v>Female</v>
      </c>
      <c r="P657">
        <f>IF(calls[[#This Row],[Call number]]&lt;&gt;"",1,0)</f>
        <v>1</v>
      </c>
      <c r="Q657">
        <f>IF(calls[[#This Row],[Rating rounded]]=5,1,0)</f>
        <v>0</v>
      </c>
    </row>
    <row r="658" spans="2:17" x14ac:dyDescent="0.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c r="M658" s="7" t="str">
        <f>_xlfn.XLOOKUP(calls[[#This Row],[Customer ID]],customers[Customer ID],customers[City])</f>
        <v>Cleveland</v>
      </c>
      <c r="N658" s="3" t="str">
        <f>_xlfn.XLOOKUP(calls[[#This Row],[Customer ID]],customers[Customer ID],customers[Gedner])</f>
        <v>Female</v>
      </c>
      <c r="P658">
        <f>IF(calls[[#This Row],[Call number]]&lt;&gt;"",1,0)</f>
        <v>1</v>
      </c>
      <c r="Q658">
        <f>IF(calls[[#This Row],[Rating rounded]]=5,1,0)</f>
        <v>0</v>
      </c>
    </row>
    <row r="659" spans="2:17" x14ac:dyDescent="0.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c r="M659" s="7" t="str">
        <f>_xlfn.XLOOKUP(calls[[#This Row],[Customer ID]],customers[Customer ID],customers[City])</f>
        <v>Cleveland</v>
      </c>
      <c r="N659" s="3" t="str">
        <f>_xlfn.XLOOKUP(calls[[#This Row],[Customer ID]],customers[Customer ID],customers[Gedner])</f>
        <v>Female</v>
      </c>
      <c r="P659">
        <f>IF(calls[[#This Row],[Call number]]&lt;&gt;"",1,0)</f>
        <v>1</v>
      </c>
      <c r="Q659">
        <f>IF(calls[[#This Row],[Rating rounded]]=5,1,0)</f>
        <v>0</v>
      </c>
    </row>
    <row r="660" spans="2:17" x14ac:dyDescent="0.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c r="M660" s="7" t="str">
        <f>_xlfn.XLOOKUP(calls[[#This Row],[Customer ID]],customers[Customer ID],customers[City])</f>
        <v>Columbus</v>
      </c>
      <c r="N660" s="3" t="str">
        <f>_xlfn.XLOOKUP(calls[[#This Row],[Customer ID]],customers[Customer ID],customers[Gedner])</f>
        <v>Male</v>
      </c>
      <c r="P660">
        <f>IF(calls[[#This Row],[Call number]]&lt;&gt;"",1,0)</f>
        <v>1</v>
      </c>
      <c r="Q660">
        <f>IF(calls[[#This Row],[Rating rounded]]=5,1,0)</f>
        <v>1</v>
      </c>
    </row>
    <row r="661" spans="2:17" x14ac:dyDescent="0.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c r="M661" s="7" t="str">
        <f>_xlfn.XLOOKUP(calls[[#This Row],[Customer ID]],customers[Customer ID],customers[City])</f>
        <v>Cleveland</v>
      </c>
      <c r="N661" s="3" t="str">
        <f>_xlfn.XLOOKUP(calls[[#This Row],[Customer ID]],customers[Customer ID],customers[Gedner])</f>
        <v>Female</v>
      </c>
      <c r="P661">
        <f>IF(calls[[#This Row],[Call number]]&lt;&gt;"",1,0)</f>
        <v>1</v>
      </c>
      <c r="Q661">
        <f>IF(calls[[#This Row],[Rating rounded]]=5,1,0)</f>
        <v>1</v>
      </c>
    </row>
    <row r="662" spans="2:17" x14ac:dyDescent="0.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c r="M662" s="7" t="str">
        <f>_xlfn.XLOOKUP(calls[[#This Row],[Customer ID]],customers[Customer ID],customers[City])</f>
        <v>Cleveland</v>
      </c>
      <c r="N662" s="3" t="str">
        <f>_xlfn.XLOOKUP(calls[[#This Row],[Customer ID]],customers[Customer ID],customers[Gedner])</f>
        <v>Female</v>
      </c>
      <c r="P662">
        <f>IF(calls[[#This Row],[Call number]]&lt;&gt;"",1,0)</f>
        <v>1</v>
      </c>
      <c r="Q662">
        <f>IF(calls[[#This Row],[Rating rounded]]=5,1,0)</f>
        <v>0</v>
      </c>
    </row>
    <row r="663" spans="2:17" x14ac:dyDescent="0.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c r="M663" s="7" t="str">
        <f>_xlfn.XLOOKUP(calls[[#This Row],[Customer ID]],customers[Customer ID],customers[City])</f>
        <v>Cincinnati</v>
      </c>
      <c r="N663" s="3" t="str">
        <f>_xlfn.XLOOKUP(calls[[#This Row],[Customer ID]],customers[Customer ID],customers[Gedner])</f>
        <v>Female</v>
      </c>
      <c r="P663">
        <f>IF(calls[[#This Row],[Call number]]&lt;&gt;"",1,0)</f>
        <v>1</v>
      </c>
      <c r="Q663">
        <f>IF(calls[[#This Row],[Rating rounded]]=5,1,0)</f>
        <v>0</v>
      </c>
    </row>
    <row r="664" spans="2:17" x14ac:dyDescent="0.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c r="M664" s="7" t="str">
        <f>_xlfn.XLOOKUP(calls[[#This Row],[Customer ID]],customers[Customer ID],customers[City])</f>
        <v>Cincinnati</v>
      </c>
      <c r="N664" s="3" t="str">
        <f>_xlfn.XLOOKUP(calls[[#This Row],[Customer ID]],customers[Customer ID],customers[Gedner])</f>
        <v>Female</v>
      </c>
      <c r="P664">
        <f>IF(calls[[#This Row],[Call number]]&lt;&gt;"",1,0)</f>
        <v>1</v>
      </c>
      <c r="Q664">
        <f>IF(calls[[#This Row],[Rating rounded]]=5,1,0)</f>
        <v>0</v>
      </c>
    </row>
    <row r="665" spans="2:17" x14ac:dyDescent="0.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c r="M665" s="7" t="str">
        <f>_xlfn.XLOOKUP(calls[[#This Row],[Customer ID]],customers[Customer ID],customers[City])</f>
        <v>Cincinnati</v>
      </c>
      <c r="N665" s="3" t="str">
        <f>_xlfn.XLOOKUP(calls[[#This Row],[Customer ID]],customers[Customer ID],customers[Gedner])</f>
        <v>Female</v>
      </c>
      <c r="P665">
        <f>IF(calls[[#This Row],[Call number]]&lt;&gt;"",1,0)</f>
        <v>1</v>
      </c>
      <c r="Q665">
        <f>IF(calls[[#This Row],[Rating rounded]]=5,1,0)</f>
        <v>0</v>
      </c>
    </row>
    <row r="666" spans="2:17" x14ac:dyDescent="0.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c r="M666" s="7" t="str">
        <f>_xlfn.XLOOKUP(calls[[#This Row],[Customer ID]],customers[Customer ID],customers[City])</f>
        <v>Cincinnati</v>
      </c>
      <c r="N666" s="3" t="str">
        <f>_xlfn.XLOOKUP(calls[[#This Row],[Customer ID]],customers[Customer ID],customers[Gedner])</f>
        <v>Male</v>
      </c>
      <c r="P666">
        <f>IF(calls[[#This Row],[Call number]]&lt;&gt;"",1,0)</f>
        <v>1</v>
      </c>
      <c r="Q666">
        <f>IF(calls[[#This Row],[Rating rounded]]=5,1,0)</f>
        <v>0</v>
      </c>
    </row>
    <row r="667" spans="2:17" x14ac:dyDescent="0.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c r="M667" s="7" t="str">
        <f>_xlfn.XLOOKUP(calls[[#This Row],[Customer ID]],customers[Customer ID],customers[City])</f>
        <v>Cleveland</v>
      </c>
      <c r="N667" s="3" t="str">
        <f>_xlfn.XLOOKUP(calls[[#This Row],[Customer ID]],customers[Customer ID],customers[Gedner])</f>
        <v>Female</v>
      </c>
      <c r="P667">
        <f>IF(calls[[#This Row],[Call number]]&lt;&gt;"",1,0)</f>
        <v>1</v>
      </c>
      <c r="Q667">
        <f>IF(calls[[#This Row],[Rating rounded]]=5,1,0)</f>
        <v>1</v>
      </c>
    </row>
    <row r="668" spans="2:17" x14ac:dyDescent="0.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c r="M668" s="7" t="str">
        <f>_xlfn.XLOOKUP(calls[[#This Row],[Customer ID]],customers[Customer ID],customers[City])</f>
        <v>Cleveland</v>
      </c>
      <c r="N668" s="3" t="str">
        <f>_xlfn.XLOOKUP(calls[[#This Row],[Customer ID]],customers[Customer ID],customers[Gedner])</f>
        <v>Female</v>
      </c>
      <c r="P668">
        <f>IF(calls[[#This Row],[Call number]]&lt;&gt;"",1,0)</f>
        <v>1</v>
      </c>
      <c r="Q668">
        <f>IF(calls[[#This Row],[Rating rounded]]=5,1,0)</f>
        <v>1</v>
      </c>
    </row>
    <row r="669" spans="2:17" x14ac:dyDescent="0.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c r="M669" s="7" t="str">
        <f>_xlfn.XLOOKUP(calls[[#This Row],[Customer ID]],customers[Customer ID],customers[City])</f>
        <v>Cincinnati</v>
      </c>
      <c r="N669" s="3" t="str">
        <f>_xlfn.XLOOKUP(calls[[#This Row],[Customer ID]],customers[Customer ID],customers[Gedner])</f>
        <v>Male</v>
      </c>
      <c r="P669">
        <f>IF(calls[[#This Row],[Call number]]&lt;&gt;"",1,0)</f>
        <v>1</v>
      </c>
      <c r="Q669">
        <f>IF(calls[[#This Row],[Rating rounded]]=5,1,0)</f>
        <v>0</v>
      </c>
    </row>
    <row r="670" spans="2:17" x14ac:dyDescent="0.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c r="M670" s="7" t="str">
        <f>_xlfn.XLOOKUP(calls[[#This Row],[Customer ID]],customers[Customer ID],customers[City])</f>
        <v>Cleveland</v>
      </c>
      <c r="N670" s="3" t="str">
        <f>_xlfn.XLOOKUP(calls[[#This Row],[Customer ID]],customers[Customer ID],customers[Gedner])</f>
        <v>Female</v>
      </c>
      <c r="P670">
        <f>IF(calls[[#This Row],[Call number]]&lt;&gt;"",1,0)</f>
        <v>1</v>
      </c>
      <c r="Q670">
        <f>IF(calls[[#This Row],[Rating rounded]]=5,1,0)</f>
        <v>0</v>
      </c>
    </row>
    <row r="671" spans="2:17" x14ac:dyDescent="0.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c r="M671" s="7" t="str">
        <f>_xlfn.XLOOKUP(calls[[#This Row],[Customer ID]],customers[Customer ID],customers[City])</f>
        <v>Columbus</v>
      </c>
      <c r="N671" s="3" t="str">
        <f>_xlfn.XLOOKUP(calls[[#This Row],[Customer ID]],customers[Customer ID],customers[Gedner])</f>
        <v>Male</v>
      </c>
      <c r="P671">
        <f>IF(calls[[#This Row],[Call number]]&lt;&gt;"",1,0)</f>
        <v>1</v>
      </c>
      <c r="Q671">
        <f>IF(calls[[#This Row],[Rating rounded]]=5,1,0)</f>
        <v>1</v>
      </c>
    </row>
    <row r="672" spans="2:17" x14ac:dyDescent="0.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c r="M672" s="7" t="str">
        <f>_xlfn.XLOOKUP(calls[[#This Row],[Customer ID]],customers[Customer ID],customers[City])</f>
        <v>Cincinnati</v>
      </c>
      <c r="N672" s="3" t="str">
        <f>_xlfn.XLOOKUP(calls[[#This Row],[Customer ID]],customers[Customer ID],customers[Gedner])</f>
        <v>Female</v>
      </c>
      <c r="P672">
        <f>IF(calls[[#This Row],[Call number]]&lt;&gt;"",1,0)</f>
        <v>1</v>
      </c>
      <c r="Q672">
        <f>IF(calls[[#This Row],[Rating rounded]]=5,1,0)</f>
        <v>1</v>
      </c>
    </row>
    <row r="673" spans="2:17" x14ac:dyDescent="0.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c r="M673" s="7" t="str">
        <f>_xlfn.XLOOKUP(calls[[#This Row],[Customer ID]],customers[Customer ID],customers[City])</f>
        <v>Cincinnati</v>
      </c>
      <c r="N673" s="3" t="str">
        <f>_xlfn.XLOOKUP(calls[[#This Row],[Customer ID]],customers[Customer ID],customers[Gedner])</f>
        <v>Female</v>
      </c>
      <c r="P673">
        <f>IF(calls[[#This Row],[Call number]]&lt;&gt;"",1,0)</f>
        <v>1</v>
      </c>
      <c r="Q673">
        <f>IF(calls[[#This Row],[Rating rounded]]=5,1,0)</f>
        <v>1</v>
      </c>
    </row>
    <row r="674" spans="2:17" x14ac:dyDescent="0.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c r="M674" s="7" t="str">
        <f>_xlfn.XLOOKUP(calls[[#This Row],[Customer ID]],customers[Customer ID],customers[City])</f>
        <v>Cincinnati</v>
      </c>
      <c r="N674" s="3" t="str">
        <f>_xlfn.XLOOKUP(calls[[#This Row],[Customer ID]],customers[Customer ID],customers[Gedner])</f>
        <v>Male</v>
      </c>
      <c r="P674">
        <f>IF(calls[[#This Row],[Call number]]&lt;&gt;"",1,0)</f>
        <v>1</v>
      </c>
      <c r="Q674">
        <f>IF(calls[[#This Row],[Rating rounded]]=5,1,0)</f>
        <v>0</v>
      </c>
    </row>
    <row r="675" spans="2:17" x14ac:dyDescent="0.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c r="M675" s="7" t="str">
        <f>_xlfn.XLOOKUP(calls[[#This Row],[Customer ID]],customers[Customer ID],customers[City])</f>
        <v>Cleveland</v>
      </c>
      <c r="N675" s="3" t="str">
        <f>_xlfn.XLOOKUP(calls[[#This Row],[Customer ID]],customers[Customer ID],customers[Gedner])</f>
        <v>Female</v>
      </c>
      <c r="P675">
        <f>IF(calls[[#This Row],[Call number]]&lt;&gt;"",1,0)</f>
        <v>1</v>
      </c>
      <c r="Q675">
        <f>IF(calls[[#This Row],[Rating rounded]]=5,1,0)</f>
        <v>1</v>
      </c>
    </row>
    <row r="676" spans="2:17" x14ac:dyDescent="0.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c r="M676" s="7" t="str">
        <f>_xlfn.XLOOKUP(calls[[#This Row],[Customer ID]],customers[Customer ID],customers[City])</f>
        <v>Cincinnati</v>
      </c>
      <c r="N676" s="3" t="str">
        <f>_xlfn.XLOOKUP(calls[[#This Row],[Customer ID]],customers[Customer ID],customers[Gedner])</f>
        <v>Female</v>
      </c>
      <c r="P676">
        <f>IF(calls[[#This Row],[Call number]]&lt;&gt;"",1,0)</f>
        <v>1</v>
      </c>
      <c r="Q676">
        <f>IF(calls[[#This Row],[Rating rounded]]=5,1,0)</f>
        <v>1</v>
      </c>
    </row>
    <row r="677" spans="2:17" x14ac:dyDescent="0.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c r="M677" s="7" t="str">
        <f>_xlfn.XLOOKUP(calls[[#This Row],[Customer ID]],customers[Customer ID],customers[City])</f>
        <v>Cleveland</v>
      </c>
      <c r="N677" s="3" t="str">
        <f>_xlfn.XLOOKUP(calls[[#This Row],[Customer ID]],customers[Customer ID],customers[Gedner])</f>
        <v>Female</v>
      </c>
      <c r="P677">
        <f>IF(calls[[#This Row],[Call number]]&lt;&gt;"",1,0)</f>
        <v>1</v>
      </c>
      <c r="Q677">
        <f>IF(calls[[#This Row],[Rating rounded]]=5,1,0)</f>
        <v>1</v>
      </c>
    </row>
    <row r="678" spans="2:17" x14ac:dyDescent="0.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c r="M678" s="7" t="str">
        <f>_xlfn.XLOOKUP(calls[[#This Row],[Customer ID]],customers[Customer ID],customers[City])</f>
        <v>Cleveland</v>
      </c>
      <c r="N678" s="3" t="str">
        <f>_xlfn.XLOOKUP(calls[[#This Row],[Customer ID]],customers[Customer ID],customers[Gedner])</f>
        <v>Female</v>
      </c>
      <c r="P678">
        <f>IF(calls[[#This Row],[Call number]]&lt;&gt;"",1,0)</f>
        <v>1</v>
      </c>
      <c r="Q678">
        <f>IF(calls[[#This Row],[Rating rounded]]=5,1,0)</f>
        <v>0</v>
      </c>
    </row>
    <row r="679" spans="2:17" x14ac:dyDescent="0.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c r="M679" s="7" t="str">
        <f>_xlfn.XLOOKUP(calls[[#This Row],[Customer ID]],customers[Customer ID],customers[City])</f>
        <v>Cincinnati</v>
      </c>
      <c r="N679" s="3" t="str">
        <f>_xlfn.XLOOKUP(calls[[#This Row],[Customer ID]],customers[Customer ID],customers[Gedner])</f>
        <v>Female</v>
      </c>
      <c r="P679">
        <f>IF(calls[[#This Row],[Call number]]&lt;&gt;"",1,0)</f>
        <v>1</v>
      </c>
      <c r="Q679">
        <f>IF(calls[[#This Row],[Rating rounded]]=5,1,0)</f>
        <v>0</v>
      </c>
    </row>
    <row r="680" spans="2:17" x14ac:dyDescent="0.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c r="M680" s="7" t="str">
        <f>_xlfn.XLOOKUP(calls[[#This Row],[Customer ID]],customers[Customer ID],customers[City])</f>
        <v>Cincinnati</v>
      </c>
      <c r="N680" s="3" t="str">
        <f>_xlfn.XLOOKUP(calls[[#This Row],[Customer ID]],customers[Customer ID],customers[Gedner])</f>
        <v>Female</v>
      </c>
      <c r="P680">
        <f>IF(calls[[#This Row],[Call number]]&lt;&gt;"",1,0)</f>
        <v>1</v>
      </c>
      <c r="Q680">
        <f>IF(calls[[#This Row],[Rating rounded]]=5,1,0)</f>
        <v>0</v>
      </c>
    </row>
    <row r="681" spans="2:17" x14ac:dyDescent="0.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c r="M681" s="7" t="str">
        <f>_xlfn.XLOOKUP(calls[[#This Row],[Customer ID]],customers[Customer ID],customers[City])</f>
        <v>Cleveland</v>
      </c>
      <c r="N681" s="3" t="str">
        <f>_xlfn.XLOOKUP(calls[[#This Row],[Customer ID]],customers[Customer ID],customers[Gedner])</f>
        <v>Female</v>
      </c>
      <c r="P681">
        <f>IF(calls[[#This Row],[Call number]]&lt;&gt;"",1,0)</f>
        <v>1</v>
      </c>
      <c r="Q681">
        <f>IF(calls[[#This Row],[Rating rounded]]=5,1,0)</f>
        <v>1</v>
      </c>
    </row>
    <row r="682" spans="2:17" x14ac:dyDescent="0.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c r="M682" s="7" t="str">
        <f>_xlfn.XLOOKUP(calls[[#This Row],[Customer ID]],customers[Customer ID],customers[City])</f>
        <v>Cleveland</v>
      </c>
      <c r="N682" s="3" t="str">
        <f>_xlfn.XLOOKUP(calls[[#This Row],[Customer ID]],customers[Customer ID],customers[Gedner])</f>
        <v>Male</v>
      </c>
      <c r="P682">
        <f>IF(calls[[#This Row],[Call number]]&lt;&gt;"",1,0)</f>
        <v>1</v>
      </c>
      <c r="Q682">
        <f>IF(calls[[#This Row],[Rating rounded]]=5,1,0)</f>
        <v>0</v>
      </c>
    </row>
    <row r="683" spans="2:17" x14ac:dyDescent="0.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c r="M683" s="7" t="str">
        <f>_xlfn.XLOOKUP(calls[[#This Row],[Customer ID]],customers[Customer ID],customers[City])</f>
        <v>Columbus</v>
      </c>
      <c r="N683" s="3" t="str">
        <f>_xlfn.XLOOKUP(calls[[#This Row],[Customer ID]],customers[Customer ID],customers[Gedner])</f>
        <v>Female</v>
      </c>
      <c r="P683">
        <f>IF(calls[[#This Row],[Call number]]&lt;&gt;"",1,0)</f>
        <v>1</v>
      </c>
      <c r="Q683">
        <f>IF(calls[[#This Row],[Rating rounded]]=5,1,0)</f>
        <v>0</v>
      </c>
    </row>
    <row r="684" spans="2:17" x14ac:dyDescent="0.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c r="M684" s="7" t="str">
        <f>_xlfn.XLOOKUP(calls[[#This Row],[Customer ID]],customers[Customer ID],customers[City])</f>
        <v>Columbus</v>
      </c>
      <c r="N684" s="3" t="str">
        <f>_xlfn.XLOOKUP(calls[[#This Row],[Customer ID]],customers[Customer ID],customers[Gedner])</f>
        <v>Male</v>
      </c>
      <c r="P684">
        <f>IF(calls[[#This Row],[Call number]]&lt;&gt;"",1,0)</f>
        <v>1</v>
      </c>
      <c r="Q684">
        <f>IF(calls[[#This Row],[Rating rounded]]=5,1,0)</f>
        <v>0</v>
      </c>
    </row>
    <row r="685" spans="2:17" x14ac:dyDescent="0.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c r="M685" s="7" t="str">
        <f>_xlfn.XLOOKUP(calls[[#This Row],[Customer ID]],customers[Customer ID],customers[City])</f>
        <v>Columbus</v>
      </c>
      <c r="N685" s="3" t="str">
        <f>_xlfn.XLOOKUP(calls[[#This Row],[Customer ID]],customers[Customer ID],customers[Gedner])</f>
        <v>Female</v>
      </c>
      <c r="P685">
        <f>IF(calls[[#This Row],[Call number]]&lt;&gt;"",1,0)</f>
        <v>1</v>
      </c>
      <c r="Q685">
        <f>IF(calls[[#This Row],[Rating rounded]]=5,1,0)</f>
        <v>0</v>
      </c>
    </row>
    <row r="686" spans="2:17" x14ac:dyDescent="0.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c r="M686" s="7" t="str">
        <f>_xlfn.XLOOKUP(calls[[#This Row],[Customer ID]],customers[Customer ID],customers[City])</f>
        <v>Cincinnati</v>
      </c>
      <c r="N686" s="3" t="str">
        <f>_xlfn.XLOOKUP(calls[[#This Row],[Customer ID]],customers[Customer ID],customers[Gedner])</f>
        <v>Female</v>
      </c>
      <c r="P686">
        <f>IF(calls[[#This Row],[Call number]]&lt;&gt;"",1,0)</f>
        <v>1</v>
      </c>
      <c r="Q686">
        <f>IF(calls[[#This Row],[Rating rounded]]=5,1,0)</f>
        <v>0</v>
      </c>
    </row>
    <row r="687" spans="2:17" x14ac:dyDescent="0.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c r="M687" s="7" t="str">
        <f>_xlfn.XLOOKUP(calls[[#This Row],[Customer ID]],customers[Customer ID],customers[City])</f>
        <v>Cleveland</v>
      </c>
      <c r="N687" s="3" t="str">
        <f>_xlfn.XLOOKUP(calls[[#This Row],[Customer ID]],customers[Customer ID],customers[Gedner])</f>
        <v>Male</v>
      </c>
      <c r="P687">
        <f>IF(calls[[#This Row],[Call number]]&lt;&gt;"",1,0)</f>
        <v>1</v>
      </c>
      <c r="Q687">
        <f>IF(calls[[#This Row],[Rating rounded]]=5,1,0)</f>
        <v>0</v>
      </c>
    </row>
    <row r="688" spans="2:17" x14ac:dyDescent="0.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c r="M688" s="7" t="str">
        <f>_xlfn.XLOOKUP(calls[[#This Row],[Customer ID]],customers[Customer ID],customers[City])</f>
        <v>Cleveland</v>
      </c>
      <c r="N688" s="3" t="str">
        <f>_xlfn.XLOOKUP(calls[[#This Row],[Customer ID]],customers[Customer ID],customers[Gedner])</f>
        <v>Female</v>
      </c>
      <c r="P688">
        <f>IF(calls[[#This Row],[Call number]]&lt;&gt;"",1,0)</f>
        <v>1</v>
      </c>
      <c r="Q688">
        <f>IF(calls[[#This Row],[Rating rounded]]=5,1,0)</f>
        <v>0</v>
      </c>
    </row>
    <row r="689" spans="2:17" x14ac:dyDescent="0.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c r="M689" s="7" t="str">
        <f>_xlfn.XLOOKUP(calls[[#This Row],[Customer ID]],customers[Customer ID],customers[City])</f>
        <v>Cincinnati</v>
      </c>
      <c r="N689" s="3" t="str">
        <f>_xlfn.XLOOKUP(calls[[#This Row],[Customer ID]],customers[Customer ID],customers[Gedner])</f>
        <v>Female</v>
      </c>
      <c r="P689">
        <f>IF(calls[[#This Row],[Call number]]&lt;&gt;"",1,0)</f>
        <v>1</v>
      </c>
      <c r="Q689">
        <f>IF(calls[[#This Row],[Rating rounded]]=5,1,0)</f>
        <v>0</v>
      </c>
    </row>
    <row r="690" spans="2:17" x14ac:dyDescent="0.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c r="M690" s="7" t="str">
        <f>_xlfn.XLOOKUP(calls[[#This Row],[Customer ID]],customers[Customer ID],customers[City])</f>
        <v>Columbus</v>
      </c>
      <c r="N690" s="3" t="str">
        <f>_xlfn.XLOOKUP(calls[[#This Row],[Customer ID]],customers[Customer ID],customers[Gedner])</f>
        <v>Female</v>
      </c>
      <c r="P690">
        <f>IF(calls[[#This Row],[Call number]]&lt;&gt;"",1,0)</f>
        <v>1</v>
      </c>
      <c r="Q690">
        <f>IF(calls[[#This Row],[Rating rounded]]=5,1,0)</f>
        <v>0</v>
      </c>
    </row>
    <row r="691" spans="2:17" x14ac:dyDescent="0.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c r="M691" s="7" t="str">
        <f>_xlfn.XLOOKUP(calls[[#This Row],[Customer ID]],customers[Customer ID],customers[City])</f>
        <v>Columbus</v>
      </c>
      <c r="N691" s="3" t="str">
        <f>_xlfn.XLOOKUP(calls[[#This Row],[Customer ID]],customers[Customer ID],customers[Gedner])</f>
        <v>Male</v>
      </c>
      <c r="P691">
        <f>IF(calls[[#This Row],[Call number]]&lt;&gt;"",1,0)</f>
        <v>1</v>
      </c>
      <c r="Q691">
        <f>IF(calls[[#This Row],[Rating rounded]]=5,1,0)</f>
        <v>1</v>
      </c>
    </row>
    <row r="692" spans="2:17" x14ac:dyDescent="0.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c r="M692" s="7" t="str">
        <f>_xlfn.XLOOKUP(calls[[#This Row],[Customer ID]],customers[Customer ID],customers[City])</f>
        <v>Columbus</v>
      </c>
      <c r="N692" s="3" t="str">
        <f>_xlfn.XLOOKUP(calls[[#This Row],[Customer ID]],customers[Customer ID],customers[Gedner])</f>
        <v>Male</v>
      </c>
      <c r="P692">
        <f>IF(calls[[#This Row],[Call number]]&lt;&gt;"",1,0)</f>
        <v>1</v>
      </c>
      <c r="Q692">
        <f>IF(calls[[#This Row],[Rating rounded]]=5,1,0)</f>
        <v>0</v>
      </c>
    </row>
    <row r="693" spans="2:17" x14ac:dyDescent="0.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c r="M693" s="7" t="str">
        <f>_xlfn.XLOOKUP(calls[[#This Row],[Customer ID]],customers[Customer ID],customers[City])</f>
        <v>Cleveland</v>
      </c>
      <c r="N693" s="3" t="str">
        <f>_xlfn.XLOOKUP(calls[[#This Row],[Customer ID]],customers[Customer ID],customers[Gedner])</f>
        <v>Female</v>
      </c>
      <c r="P693">
        <f>IF(calls[[#This Row],[Call number]]&lt;&gt;"",1,0)</f>
        <v>1</v>
      </c>
      <c r="Q693">
        <f>IF(calls[[#This Row],[Rating rounded]]=5,1,0)</f>
        <v>1</v>
      </c>
    </row>
    <row r="694" spans="2:17" x14ac:dyDescent="0.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c r="M694" s="7" t="str">
        <f>_xlfn.XLOOKUP(calls[[#This Row],[Customer ID]],customers[Customer ID],customers[City])</f>
        <v>Cincinnati</v>
      </c>
      <c r="N694" s="3" t="str">
        <f>_xlfn.XLOOKUP(calls[[#This Row],[Customer ID]],customers[Customer ID],customers[Gedner])</f>
        <v>Female</v>
      </c>
      <c r="P694">
        <f>IF(calls[[#This Row],[Call number]]&lt;&gt;"",1,0)</f>
        <v>1</v>
      </c>
      <c r="Q694">
        <f>IF(calls[[#This Row],[Rating rounded]]=5,1,0)</f>
        <v>1</v>
      </c>
    </row>
    <row r="695" spans="2:17" x14ac:dyDescent="0.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c r="M695" s="7" t="str">
        <f>_xlfn.XLOOKUP(calls[[#This Row],[Customer ID]],customers[Customer ID],customers[City])</f>
        <v>Cleveland</v>
      </c>
      <c r="N695" s="3" t="str">
        <f>_xlfn.XLOOKUP(calls[[#This Row],[Customer ID]],customers[Customer ID],customers[Gedner])</f>
        <v>Female</v>
      </c>
      <c r="P695">
        <f>IF(calls[[#This Row],[Call number]]&lt;&gt;"",1,0)</f>
        <v>1</v>
      </c>
      <c r="Q695">
        <f>IF(calls[[#This Row],[Rating rounded]]=5,1,0)</f>
        <v>1</v>
      </c>
    </row>
    <row r="696" spans="2:17" x14ac:dyDescent="0.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c r="M696" s="7" t="str">
        <f>_xlfn.XLOOKUP(calls[[#This Row],[Customer ID]],customers[Customer ID],customers[City])</f>
        <v>Cincinnati</v>
      </c>
      <c r="N696" s="3" t="str">
        <f>_xlfn.XLOOKUP(calls[[#This Row],[Customer ID]],customers[Customer ID],customers[Gedner])</f>
        <v>Female</v>
      </c>
      <c r="P696">
        <f>IF(calls[[#This Row],[Call number]]&lt;&gt;"",1,0)</f>
        <v>1</v>
      </c>
      <c r="Q696">
        <f>IF(calls[[#This Row],[Rating rounded]]=5,1,0)</f>
        <v>0</v>
      </c>
    </row>
    <row r="697" spans="2:17" x14ac:dyDescent="0.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c r="M697" s="7" t="str">
        <f>_xlfn.XLOOKUP(calls[[#This Row],[Customer ID]],customers[Customer ID],customers[City])</f>
        <v>Columbus</v>
      </c>
      <c r="N697" s="3" t="str">
        <f>_xlfn.XLOOKUP(calls[[#This Row],[Customer ID]],customers[Customer ID],customers[Gedner])</f>
        <v>Male</v>
      </c>
      <c r="P697">
        <f>IF(calls[[#This Row],[Call number]]&lt;&gt;"",1,0)</f>
        <v>1</v>
      </c>
      <c r="Q697">
        <f>IF(calls[[#This Row],[Rating rounded]]=5,1,0)</f>
        <v>0</v>
      </c>
    </row>
    <row r="698" spans="2:17" x14ac:dyDescent="0.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c r="M698" s="7" t="str">
        <f>_xlfn.XLOOKUP(calls[[#This Row],[Customer ID]],customers[Customer ID],customers[City])</f>
        <v>Cleveland</v>
      </c>
      <c r="N698" s="3" t="str">
        <f>_xlfn.XLOOKUP(calls[[#This Row],[Customer ID]],customers[Customer ID],customers[Gedner])</f>
        <v>Female</v>
      </c>
      <c r="P698">
        <f>IF(calls[[#This Row],[Call number]]&lt;&gt;"",1,0)</f>
        <v>1</v>
      </c>
      <c r="Q698">
        <f>IF(calls[[#This Row],[Rating rounded]]=5,1,0)</f>
        <v>0</v>
      </c>
    </row>
    <row r="699" spans="2:17" x14ac:dyDescent="0.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c r="M699" s="7" t="str">
        <f>_xlfn.XLOOKUP(calls[[#This Row],[Customer ID]],customers[Customer ID],customers[City])</f>
        <v>Columbus</v>
      </c>
      <c r="N699" s="3" t="str">
        <f>_xlfn.XLOOKUP(calls[[#This Row],[Customer ID]],customers[Customer ID],customers[Gedner])</f>
        <v>Male</v>
      </c>
      <c r="P699">
        <f>IF(calls[[#This Row],[Call number]]&lt;&gt;"",1,0)</f>
        <v>1</v>
      </c>
      <c r="Q699">
        <f>IF(calls[[#This Row],[Rating rounded]]=5,1,0)</f>
        <v>0</v>
      </c>
    </row>
    <row r="700" spans="2:17" x14ac:dyDescent="0.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c r="M700" s="7" t="str">
        <f>_xlfn.XLOOKUP(calls[[#This Row],[Customer ID]],customers[Customer ID],customers[City])</f>
        <v>Columbus</v>
      </c>
      <c r="N700" s="3" t="str">
        <f>_xlfn.XLOOKUP(calls[[#This Row],[Customer ID]],customers[Customer ID],customers[Gedner])</f>
        <v>Male</v>
      </c>
      <c r="P700">
        <f>IF(calls[[#This Row],[Call number]]&lt;&gt;"",1,0)</f>
        <v>1</v>
      </c>
      <c r="Q700">
        <f>IF(calls[[#This Row],[Rating rounded]]=5,1,0)</f>
        <v>0</v>
      </c>
    </row>
    <row r="701" spans="2:17" x14ac:dyDescent="0.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c r="M701" s="7" t="str">
        <f>_xlfn.XLOOKUP(calls[[#This Row],[Customer ID]],customers[Customer ID],customers[City])</f>
        <v>Cincinnati</v>
      </c>
      <c r="N701" s="3" t="str">
        <f>_xlfn.XLOOKUP(calls[[#This Row],[Customer ID]],customers[Customer ID],customers[Gedner])</f>
        <v>Female</v>
      </c>
      <c r="P701">
        <f>IF(calls[[#This Row],[Call number]]&lt;&gt;"",1,0)</f>
        <v>1</v>
      </c>
      <c r="Q701">
        <f>IF(calls[[#This Row],[Rating rounded]]=5,1,0)</f>
        <v>0</v>
      </c>
    </row>
    <row r="702" spans="2:17" x14ac:dyDescent="0.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c r="M702" s="7" t="str">
        <f>_xlfn.XLOOKUP(calls[[#This Row],[Customer ID]],customers[Customer ID],customers[City])</f>
        <v>Cincinnati</v>
      </c>
      <c r="N702" s="3" t="str">
        <f>_xlfn.XLOOKUP(calls[[#This Row],[Customer ID]],customers[Customer ID],customers[Gedner])</f>
        <v>Male</v>
      </c>
      <c r="P702">
        <f>IF(calls[[#This Row],[Call number]]&lt;&gt;"",1,0)</f>
        <v>1</v>
      </c>
      <c r="Q702">
        <f>IF(calls[[#This Row],[Rating rounded]]=5,1,0)</f>
        <v>0</v>
      </c>
    </row>
    <row r="703" spans="2:17" x14ac:dyDescent="0.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c r="M703" s="7" t="str">
        <f>_xlfn.XLOOKUP(calls[[#This Row],[Customer ID]],customers[Customer ID],customers[City])</f>
        <v>Cincinnati</v>
      </c>
      <c r="N703" s="3" t="str">
        <f>_xlfn.XLOOKUP(calls[[#This Row],[Customer ID]],customers[Customer ID],customers[Gedner])</f>
        <v>Male</v>
      </c>
      <c r="P703">
        <f>IF(calls[[#This Row],[Call number]]&lt;&gt;"",1,0)</f>
        <v>1</v>
      </c>
      <c r="Q703">
        <f>IF(calls[[#This Row],[Rating rounded]]=5,1,0)</f>
        <v>1</v>
      </c>
    </row>
    <row r="704" spans="2:17" x14ac:dyDescent="0.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c r="M704" s="7" t="str">
        <f>_xlfn.XLOOKUP(calls[[#This Row],[Customer ID]],customers[Customer ID],customers[City])</f>
        <v>Cleveland</v>
      </c>
      <c r="N704" s="3" t="str">
        <f>_xlfn.XLOOKUP(calls[[#This Row],[Customer ID]],customers[Customer ID],customers[Gedner])</f>
        <v>Female</v>
      </c>
      <c r="P704">
        <f>IF(calls[[#This Row],[Call number]]&lt;&gt;"",1,0)</f>
        <v>1</v>
      </c>
      <c r="Q704">
        <f>IF(calls[[#This Row],[Rating rounded]]=5,1,0)</f>
        <v>0</v>
      </c>
    </row>
    <row r="705" spans="2:17" x14ac:dyDescent="0.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c r="M705" s="7" t="str">
        <f>_xlfn.XLOOKUP(calls[[#This Row],[Customer ID]],customers[Customer ID],customers[City])</f>
        <v>Cincinnati</v>
      </c>
      <c r="N705" s="3" t="str">
        <f>_xlfn.XLOOKUP(calls[[#This Row],[Customer ID]],customers[Customer ID],customers[Gedner])</f>
        <v>Male</v>
      </c>
      <c r="P705">
        <f>IF(calls[[#This Row],[Call number]]&lt;&gt;"",1,0)</f>
        <v>1</v>
      </c>
      <c r="Q705">
        <f>IF(calls[[#This Row],[Rating rounded]]=5,1,0)</f>
        <v>1</v>
      </c>
    </row>
    <row r="706" spans="2:17" x14ac:dyDescent="0.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c r="M706" s="7" t="str">
        <f>_xlfn.XLOOKUP(calls[[#This Row],[Customer ID]],customers[Customer ID],customers[City])</f>
        <v>Cleveland</v>
      </c>
      <c r="N706" s="3" t="str">
        <f>_xlfn.XLOOKUP(calls[[#This Row],[Customer ID]],customers[Customer ID],customers[Gedner])</f>
        <v>Female</v>
      </c>
      <c r="P706">
        <f>IF(calls[[#This Row],[Call number]]&lt;&gt;"",1,0)</f>
        <v>1</v>
      </c>
      <c r="Q706">
        <f>IF(calls[[#This Row],[Rating rounded]]=5,1,0)</f>
        <v>0</v>
      </c>
    </row>
    <row r="707" spans="2:17" x14ac:dyDescent="0.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c r="M707" s="7" t="str">
        <f>_xlfn.XLOOKUP(calls[[#This Row],[Customer ID]],customers[Customer ID],customers[City])</f>
        <v>Columbus</v>
      </c>
      <c r="N707" s="3" t="str">
        <f>_xlfn.XLOOKUP(calls[[#This Row],[Customer ID]],customers[Customer ID],customers[Gedner])</f>
        <v>Male</v>
      </c>
      <c r="P707">
        <f>IF(calls[[#This Row],[Call number]]&lt;&gt;"",1,0)</f>
        <v>1</v>
      </c>
      <c r="Q707">
        <f>IF(calls[[#This Row],[Rating rounded]]=5,1,0)</f>
        <v>0</v>
      </c>
    </row>
    <row r="708" spans="2:17" x14ac:dyDescent="0.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c r="M708" s="7" t="str">
        <f>_xlfn.XLOOKUP(calls[[#This Row],[Customer ID]],customers[Customer ID],customers[City])</f>
        <v>Columbus</v>
      </c>
      <c r="N708" s="3" t="str">
        <f>_xlfn.XLOOKUP(calls[[#This Row],[Customer ID]],customers[Customer ID],customers[Gedner])</f>
        <v>Female</v>
      </c>
      <c r="P708">
        <f>IF(calls[[#This Row],[Call number]]&lt;&gt;"",1,0)</f>
        <v>1</v>
      </c>
      <c r="Q708">
        <f>IF(calls[[#This Row],[Rating rounded]]=5,1,0)</f>
        <v>1</v>
      </c>
    </row>
    <row r="709" spans="2:17" x14ac:dyDescent="0.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c r="M709" s="7" t="str">
        <f>_xlfn.XLOOKUP(calls[[#This Row],[Customer ID]],customers[Customer ID],customers[City])</f>
        <v>Columbus</v>
      </c>
      <c r="N709" s="3" t="str">
        <f>_xlfn.XLOOKUP(calls[[#This Row],[Customer ID]],customers[Customer ID],customers[Gedner])</f>
        <v>Female</v>
      </c>
      <c r="P709">
        <f>IF(calls[[#This Row],[Call number]]&lt;&gt;"",1,0)</f>
        <v>1</v>
      </c>
      <c r="Q709">
        <f>IF(calls[[#This Row],[Rating rounded]]=5,1,0)</f>
        <v>1</v>
      </c>
    </row>
    <row r="710" spans="2:17" x14ac:dyDescent="0.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c r="M710" s="7" t="str">
        <f>_xlfn.XLOOKUP(calls[[#This Row],[Customer ID]],customers[Customer ID],customers[City])</f>
        <v>Cincinnati</v>
      </c>
      <c r="N710" s="3" t="str">
        <f>_xlfn.XLOOKUP(calls[[#This Row],[Customer ID]],customers[Customer ID],customers[Gedner])</f>
        <v>Male</v>
      </c>
      <c r="P710">
        <f>IF(calls[[#This Row],[Call number]]&lt;&gt;"",1,0)</f>
        <v>1</v>
      </c>
      <c r="Q710">
        <f>IF(calls[[#This Row],[Rating rounded]]=5,1,0)</f>
        <v>1</v>
      </c>
    </row>
    <row r="711" spans="2:17" x14ac:dyDescent="0.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c r="M711" s="7" t="str">
        <f>_xlfn.XLOOKUP(calls[[#This Row],[Customer ID]],customers[Customer ID],customers[City])</f>
        <v>Cincinnati</v>
      </c>
      <c r="N711" s="3" t="str">
        <f>_xlfn.XLOOKUP(calls[[#This Row],[Customer ID]],customers[Customer ID],customers[Gedner])</f>
        <v>Female</v>
      </c>
      <c r="P711">
        <f>IF(calls[[#This Row],[Call number]]&lt;&gt;"",1,0)</f>
        <v>1</v>
      </c>
      <c r="Q711">
        <f>IF(calls[[#This Row],[Rating rounded]]=5,1,0)</f>
        <v>0</v>
      </c>
    </row>
    <row r="712" spans="2:17" x14ac:dyDescent="0.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c r="M712" s="7" t="str">
        <f>_xlfn.XLOOKUP(calls[[#This Row],[Customer ID]],customers[Customer ID],customers[City])</f>
        <v>Cincinnati</v>
      </c>
      <c r="N712" s="3" t="str">
        <f>_xlfn.XLOOKUP(calls[[#This Row],[Customer ID]],customers[Customer ID],customers[Gedner])</f>
        <v>Female</v>
      </c>
      <c r="P712">
        <f>IF(calls[[#This Row],[Call number]]&lt;&gt;"",1,0)</f>
        <v>1</v>
      </c>
      <c r="Q712">
        <f>IF(calls[[#This Row],[Rating rounded]]=5,1,0)</f>
        <v>0</v>
      </c>
    </row>
    <row r="713" spans="2:17" x14ac:dyDescent="0.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c r="M713" s="7" t="str">
        <f>_xlfn.XLOOKUP(calls[[#This Row],[Customer ID]],customers[Customer ID],customers[City])</f>
        <v>Cleveland</v>
      </c>
      <c r="N713" s="3" t="str">
        <f>_xlfn.XLOOKUP(calls[[#This Row],[Customer ID]],customers[Customer ID],customers[Gedner])</f>
        <v>Male</v>
      </c>
      <c r="P713">
        <f>IF(calls[[#This Row],[Call number]]&lt;&gt;"",1,0)</f>
        <v>1</v>
      </c>
      <c r="Q713">
        <f>IF(calls[[#This Row],[Rating rounded]]=5,1,0)</f>
        <v>0</v>
      </c>
    </row>
    <row r="714" spans="2:17" x14ac:dyDescent="0.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c r="M714" s="7" t="str">
        <f>_xlfn.XLOOKUP(calls[[#This Row],[Customer ID]],customers[Customer ID],customers[City])</f>
        <v>Cleveland</v>
      </c>
      <c r="N714" s="3" t="str">
        <f>_xlfn.XLOOKUP(calls[[#This Row],[Customer ID]],customers[Customer ID],customers[Gedner])</f>
        <v>Female</v>
      </c>
      <c r="P714">
        <f>IF(calls[[#This Row],[Call number]]&lt;&gt;"",1,0)</f>
        <v>1</v>
      </c>
      <c r="Q714">
        <f>IF(calls[[#This Row],[Rating rounded]]=5,1,0)</f>
        <v>0</v>
      </c>
    </row>
    <row r="715" spans="2:17" x14ac:dyDescent="0.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c r="M715" s="7" t="str">
        <f>_xlfn.XLOOKUP(calls[[#This Row],[Customer ID]],customers[Customer ID],customers[City])</f>
        <v>Cincinnati</v>
      </c>
      <c r="N715" s="3" t="str">
        <f>_xlfn.XLOOKUP(calls[[#This Row],[Customer ID]],customers[Customer ID],customers[Gedner])</f>
        <v>Male</v>
      </c>
      <c r="P715">
        <f>IF(calls[[#This Row],[Call number]]&lt;&gt;"",1,0)</f>
        <v>1</v>
      </c>
      <c r="Q715">
        <f>IF(calls[[#This Row],[Rating rounded]]=5,1,0)</f>
        <v>1</v>
      </c>
    </row>
    <row r="716" spans="2:17" x14ac:dyDescent="0.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c r="M716" s="7" t="str">
        <f>_xlfn.XLOOKUP(calls[[#This Row],[Customer ID]],customers[Customer ID],customers[City])</f>
        <v>Columbus</v>
      </c>
      <c r="N716" s="3" t="str">
        <f>_xlfn.XLOOKUP(calls[[#This Row],[Customer ID]],customers[Customer ID],customers[Gedner])</f>
        <v>Female</v>
      </c>
      <c r="P716">
        <f>IF(calls[[#This Row],[Call number]]&lt;&gt;"",1,0)</f>
        <v>1</v>
      </c>
      <c r="Q716">
        <f>IF(calls[[#This Row],[Rating rounded]]=5,1,0)</f>
        <v>0</v>
      </c>
    </row>
    <row r="717" spans="2:17" x14ac:dyDescent="0.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c r="M717" s="7" t="str">
        <f>_xlfn.XLOOKUP(calls[[#This Row],[Customer ID]],customers[Customer ID],customers[City])</f>
        <v>Cincinnati</v>
      </c>
      <c r="N717" s="3" t="str">
        <f>_xlfn.XLOOKUP(calls[[#This Row],[Customer ID]],customers[Customer ID],customers[Gedner])</f>
        <v>Female</v>
      </c>
      <c r="P717">
        <f>IF(calls[[#This Row],[Call number]]&lt;&gt;"",1,0)</f>
        <v>1</v>
      </c>
      <c r="Q717">
        <f>IF(calls[[#This Row],[Rating rounded]]=5,1,0)</f>
        <v>0</v>
      </c>
    </row>
    <row r="718" spans="2:17" x14ac:dyDescent="0.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c r="M718" s="7" t="str">
        <f>_xlfn.XLOOKUP(calls[[#This Row],[Customer ID]],customers[Customer ID],customers[City])</f>
        <v>Columbus</v>
      </c>
      <c r="N718" s="3" t="str">
        <f>_xlfn.XLOOKUP(calls[[#This Row],[Customer ID]],customers[Customer ID],customers[Gedner])</f>
        <v>Female</v>
      </c>
      <c r="P718">
        <f>IF(calls[[#This Row],[Call number]]&lt;&gt;"",1,0)</f>
        <v>1</v>
      </c>
      <c r="Q718">
        <f>IF(calls[[#This Row],[Rating rounded]]=5,1,0)</f>
        <v>0</v>
      </c>
    </row>
    <row r="719" spans="2:17" x14ac:dyDescent="0.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c r="M719" s="7" t="str">
        <f>_xlfn.XLOOKUP(calls[[#This Row],[Customer ID]],customers[Customer ID],customers[City])</f>
        <v>Cincinnati</v>
      </c>
      <c r="N719" s="3" t="str">
        <f>_xlfn.XLOOKUP(calls[[#This Row],[Customer ID]],customers[Customer ID],customers[Gedner])</f>
        <v>Female</v>
      </c>
      <c r="P719">
        <f>IF(calls[[#This Row],[Call number]]&lt;&gt;"",1,0)</f>
        <v>1</v>
      </c>
      <c r="Q719">
        <f>IF(calls[[#This Row],[Rating rounded]]=5,1,0)</f>
        <v>1</v>
      </c>
    </row>
    <row r="720" spans="2:17" x14ac:dyDescent="0.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c r="M720" s="7" t="str">
        <f>_xlfn.XLOOKUP(calls[[#This Row],[Customer ID]],customers[Customer ID],customers[City])</f>
        <v>Columbus</v>
      </c>
      <c r="N720" s="3" t="str">
        <f>_xlfn.XLOOKUP(calls[[#This Row],[Customer ID]],customers[Customer ID],customers[Gedner])</f>
        <v>Male</v>
      </c>
      <c r="P720">
        <f>IF(calls[[#This Row],[Call number]]&lt;&gt;"",1,0)</f>
        <v>1</v>
      </c>
      <c r="Q720">
        <f>IF(calls[[#This Row],[Rating rounded]]=5,1,0)</f>
        <v>0</v>
      </c>
    </row>
    <row r="721" spans="2:17" x14ac:dyDescent="0.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c r="M721" s="7" t="str">
        <f>_xlfn.XLOOKUP(calls[[#This Row],[Customer ID]],customers[Customer ID],customers[City])</f>
        <v>Cincinnati</v>
      </c>
      <c r="N721" s="3" t="str">
        <f>_xlfn.XLOOKUP(calls[[#This Row],[Customer ID]],customers[Customer ID],customers[Gedner])</f>
        <v>Male</v>
      </c>
      <c r="P721">
        <f>IF(calls[[#This Row],[Call number]]&lt;&gt;"",1,0)</f>
        <v>1</v>
      </c>
      <c r="Q721">
        <f>IF(calls[[#This Row],[Rating rounded]]=5,1,0)</f>
        <v>1</v>
      </c>
    </row>
    <row r="722" spans="2:17" x14ac:dyDescent="0.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c r="M722" s="7" t="str">
        <f>_xlfn.XLOOKUP(calls[[#This Row],[Customer ID]],customers[Customer ID],customers[City])</f>
        <v>Columbus</v>
      </c>
      <c r="N722" s="3" t="str">
        <f>_xlfn.XLOOKUP(calls[[#This Row],[Customer ID]],customers[Customer ID],customers[Gedner])</f>
        <v>Male</v>
      </c>
      <c r="P722">
        <f>IF(calls[[#This Row],[Call number]]&lt;&gt;"",1,0)</f>
        <v>1</v>
      </c>
      <c r="Q722">
        <f>IF(calls[[#This Row],[Rating rounded]]=5,1,0)</f>
        <v>0</v>
      </c>
    </row>
    <row r="723" spans="2:17" x14ac:dyDescent="0.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c r="M723" s="7" t="str">
        <f>_xlfn.XLOOKUP(calls[[#This Row],[Customer ID]],customers[Customer ID],customers[City])</f>
        <v>Cincinnati</v>
      </c>
      <c r="N723" s="3" t="str">
        <f>_xlfn.XLOOKUP(calls[[#This Row],[Customer ID]],customers[Customer ID],customers[Gedner])</f>
        <v>Female</v>
      </c>
      <c r="P723">
        <f>IF(calls[[#This Row],[Call number]]&lt;&gt;"",1,0)</f>
        <v>1</v>
      </c>
      <c r="Q723">
        <f>IF(calls[[#This Row],[Rating rounded]]=5,1,0)</f>
        <v>0</v>
      </c>
    </row>
    <row r="724" spans="2:17" x14ac:dyDescent="0.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c r="M724" s="7" t="str">
        <f>_xlfn.XLOOKUP(calls[[#This Row],[Customer ID]],customers[Customer ID],customers[City])</f>
        <v>Columbus</v>
      </c>
      <c r="N724" s="3" t="str">
        <f>_xlfn.XLOOKUP(calls[[#This Row],[Customer ID]],customers[Customer ID],customers[Gedner])</f>
        <v>Male</v>
      </c>
      <c r="P724">
        <f>IF(calls[[#This Row],[Call number]]&lt;&gt;"",1,0)</f>
        <v>1</v>
      </c>
      <c r="Q724">
        <f>IF(calls[[#This Row],[Rating rounded]]=5,1,0)</f>
        <v>0</v>
      </c>
    </row>
    <row r="725" spans="2:17" x14ac:dyDescent="0.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c r="M725" s="7" t="str">
        <f>_xlfn.XLOOKUP(calls[[#This Row],[Customer ID]],customers[Customer ID],customers[City])</f>
        <v>Cincinnati</v>
      </c>
      <c r="N725" s="3" t="str">
        <f>_xlfn.XLOOKUP(calls[[#This Row],[Customer ID]],customers[Customer ID],customers[Gedner])</f>
        <v>Male</v>
      </c>
      <c r="P725">
        <f>IF(calls[[#This Row],[Call number]]&lt;&gt;"",1,0)</f>
        <v>1</v>
      </c>
      <c r="Q725">
        <f>IF(calls[[#This Row],[Rating rounded]]=5,1,0)</f>
        <v>0</v>
      </c>
    </row>
    <row r="726" spans="2:17" x14ac:dyDescent="0.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c r="M726" s="7" t="str">
        <f>_xlfn.XLOOKUP(calls[[#This Row],[Customer ID]],customers[Customer ID],customers[City])</f>
        <v>Cleveland</v>
      </c>
      <c r="N726" s="3" t="str">
        <f>_xlfn.XLOOKUP(calls[[#This Row],[Customer ID]],customers[Customer ID],customers[Gedner])</f>
        <v>Female</v>
      </c>
      <c r="P726">
        <f>IF(calls[[#This Row],[Call number]]&lt;&gt;"",1,0)</f>
        <v>1</v>
      </c>
      <c r="Q726">
        <f>IF(calls[[#This Row],[Rating rounded]]=5,1,0)</f>
        <v>0</v>
      </c>
    </row>
    <row r="727" spans="2:17" x14ac:dyDescent="0.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c r="M727" s="7" t="str">
        <f>_xlfn.XLOOKUP(calls[[#This Row],[Customer ID]],customers[Customer ID],customers[City])</f>
        <v>Columbus</v>
      </c>
      <c r="N727" s="3" t="str">
        <f>_xlfn.XLOOKUP(calls[[#This Row],[Customer ID]],customers[Customer ID],customers[Gedner])</f>
        <v>Male</v>
      </c>
      <c r="P727">
        <f>IF(calls[[#This Row],[Call number]]&lt;&gt;"",1,0)</f>
        <v>1</v>
      </c>
      <c r="Q727">
        <f>IF(calls[[#This Row],[Rating rounded]]=5,1,0)</f>
        <v>0</v>
      </c>
    </row>
    <row r="728" spans="2:17" x14ac:dyDescent="0.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c r="M728" s="7" t="str">
        <f>_xlfn.XLOOKUP(calls[[#This Row],[Customer ID]],customers[Customer ID],customers[City])</f>
        <v>Cleveland</v>
      </c>
      <c r="N728" s="3" t="str">
        <f>_xlfn.XLOOKUP(calls[[#This Row],[Customer ID]],customers[Customer ID],customers[Gedner])</f>
        <v>Female</v>
      </c>
      <c r="P728">
        <f>IF(calls[[#This Row],[Call number]]&lt;&gt;"",1,0)</f>
        <v>1</v>
      </c>
      <c r="Q728">
        <f>IF(calls[[#This Row],[Rating rounded]]=5,1,0)</f>
        <v>1</v>
      </c>
    </row>
    <row r="729" spans="2:17" x14ac:dyDescent="0.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c r="M729" s="7" t="str">
        <f>_xlfn.XLOOKUP(calls[[#This Row],[Customer ID]],customers[Customer ID],customers[City])</f>
        <v>Cincinnati</v>
      </c>
      <c r="N729" s="3" t="str">
        <f>_xlfn.XLOOKUP(calls[[#This Row],[Customer ID]],customers[Customer ID],customers[Gedner])</f>
        <v>Male</v>
      </c>
      <c r="P729">
        <f>IF(calls[[#This Row],[Call number]]&lt;&gt;"",1,0)</f>
        <v>1</v>
      </c>
      <c r="Q729">
        <f>IF(calls[[#This Row],[Rating rounded]]=5,1,0)</f>
        <v>0</v>
      </c>
    </row>
    <row r="730" spans="2:17" x14ac:dyDescent="0.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c r="M730" s="7" t="str">
        <f>_xlfn.XLOOKUP(calls[[#This Row],[Customer ID]],customers[Customer ID],customers[City])</f>
        <v>Cleveland</v>
      </c>
      <c r="N730" s="3" t="str">
        <f>_xlfn.XLOOKUP(calls[[#This Row],[Customer ID]],customers[Customer ID],customers[Gedner])</f>
        <v>Female</v>
      </c>
      <c r="P730">
        <f>IF(calls[[#This Row],[Call number]]&lt;&gt;"",1,0)</f>
        <v>1</v>
      </c>
      <c r="Q730">
        <f>IF(calls[[#This Row],[Rating rounded]]=5,1,0)</f>
        <v>0</v>
      </c>
    </row>
    <row r="731" spans="2:17" x14ac:dyDescent="0.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c r="M731" s="7" t="str">
        <f>_xlfn.XLOOKUP(calls[[#This Row],[Customer ID]],customers[Customer ID],customers[City])</f>
        <v>Cleveland</v>
      </c>
      <c r="N731" s="3" t="str">
        <f>_xlfn.XLOOKUP(calls[[#This Row],[Customer ID]],customers[Customer ID],customers[Gedner])</f>
        <v>Male</v>
      </c>
      <c r="P731">
        <f>IF(calls[[#This Row],[Call number]]&lt;&gt;"",1,0)</f>
        <v>1</v>
      </c>
      <c r="Q731">
        <f>IF(calls[[#This Row],[Rating rounded]]=5,1,0)</f>
        <v>0</v>
      </c>
    </row>
    <row r="732" spans="2:17" x14ac:dyDescent="0.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c r="M732" s="7" t="str">
        <f>_xlfn.XLOOKUP(calls[[#This Row],[Customer ID]],customers[Customer ID],customers[City])</f>
        <v>Cleveland</v>
      </c>
      <c r="N732" s="3" t="str">
        <f>_xlfn.XLOOKUP(calls[[#This Row],[Customer ID]],customers[Customer ID],customers[Gedner])</f>
        <v>Female</v>
      </c>
      <c r="P732">
        <f>IF(calls[[#This Row],[Call number]]&lt;&gt;"",1,0)</f>
        <v>1</v>
      </c>
      <c r="Q732">
        <f>IF(calls[[#This Row],[Rating rounded]]=5,1,0)</f>
        <v>0</v>
      </c>
    </row>
    <row r="733" spans="2:17" x14ac:dyDescent="0.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c r="M733" s="7" t="str">
        <f>_xlfn.XLOOKUP(calls[[#This Row],[Customer ID]],customers[Customer ID],customers[City])</f>
        <v>Columbus</v>
      </c>
      <c r="N733" s="3" t="str">
        <f>_xlfn.XLOOKUP(calls[[#This Row],[Customer ID]],customers[Customer ID],customers[Gedner])</f>
        <v>Male</v>
      </c>
      <c r="P733">
        <f>IF(calls[[#This Row],[Call number]]&lt;&gt;"",1,0)</f>
        <v>1</v>
      </c>
      <c r="Q733">
        <f>IF(calls[[#This Row],[Rating rounded]]=5,1,0)</f>
        <v>1</v>
      </c>
    </row>
    <row r="734" spans="2:17" x14ac:dyDescent="0.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c r="M734" s="7" t="str">
        <f>_xlfn.XLOOKUP(calls[[#This Row],[Customer ID]],customers[Customer ID],customers[City])</f>
        <v>Cincinnati</v>
      </c>
      <c r="N734" s="3" t="str">
        <f>_xlfn.XLOOKUP(calls[[#This Row],[Customer ID]],customers[Customer ID],customers[Gedner])</f>
        <v>Male</v>
      </c>
      <c r="P734">
        <f>IF(calls[[#This Row],[Call number]]&lt;&gt;"",1,0)</f>
        <v>1</v>
      </c>
      <c r="Q734">
        <f>IF(calls[[#This Row],[Rating rounded]]=5,1,0)</f>
        <v>0</v>
      </c>
    </row>
    <row r="735" spans="2:17" x14ac:dyDescent="0.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c r="M735" s="7" t="str">
        <f>_xlfn.XLOOKUP(calls[[#This Row],[Customer ID]],customers[Customer ID],customers[City])</f>
        <v>Cleveland</v>
      </c>
      <c r="N735" s="3" t="str">
        <f>_xlfn.XLOOKUP(calls[[#This Row],[Customer ID]],customers[Customer ID],customers[Gedner])</f>
        <v>Female</v>
      </c>
      <c r="P735">
        <f>IF(calls[[#This Row],[Call number]]&lt;&gt;"",1,0)</f>
        <v>1</v>
      </c>
      <c r="Q735">
        <f>IF(calls[[#This Row],[Rating rounded]]=5,1,0)</f>
        <v>0</v>
      </c>
    </row>
    <row r="736" spans="2:17" x14ac:dyDescent="0.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c r="M736" s="7" t="str">
        <f>_xlfn.XLOOKUP(calls[[#This Row],[Customer ID]],customers[Customer ID],customers[City])</f>
        <v>Cleveland</v>
      </c>
      <c r="N736" s="3" t="str">
        <f>_xlfn.XLOOKUP(calls[[#This Row],[Customer ID]],customers[Customer ID],customers[Gedner])</f>
        <v>Female</v>
      </c>
      <c r="P736">
        <f>IF(calls[[#This Row],[Call number]]&lt;&gt;"",1,0)</f>
        <v>1</v>
      </c>
      <c r="Q736">
        <f>IF(calls[[#This Row],[Rating rounded]]=5,1,0)</f>
        <v>0</v>
      </c>
    </row>
    <row r="737" spans="2:17" x14ac:dyDescent="0.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c r="M737" s="7" t="str">
        <f>_xlfn.XLOOKUP(calls[[#This Row],[Customer ID]],customers[Customer ID],customers[City])</f>
        <v>Cincinnati</v>
      </c>
      <c r="N737" s="3" t="str">
        <f>_xlfn.XLOOKUP(calls[[#This Row],[Customer ID]],customers[Customer ID],customers[Gedner])</f>
        <v>Female</v>
      </c>
      <c r="P737">
        <f>IF(calls[[#This Row],[Call number]]&lt;&gt;"",1,0)</f>
        <v>1</v>
      </c>
      <c r="Q737">
        <f>IF(calls[[#This Row],[Rating rounded]]=5,1,0)</f>
        <v>1</v>
      </c>
    </row>
    <row r="738" spans="2:17" x14ac:dyDescent="0.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c r="M738" s="7" t="str">
        <f>_xlfn.XLOOKUP(calls[[#This Row],[Customer ID]],customers[Customer ID],customers[City])</f>
        <v>Cleveland</v>
      </c>
      <c r="N738" s="3" t="str">
        <f>_xlfn.XLOOKUP(calls[[#This Row],[Customer ID]],customers[Customer ID],customers[Gedner])</f>
        <v>Female</v>
      </c>
      <c r="P738">
        <f>IF(calls[[#This Row],[Call number]]&lt;&gt;"",1,0)</f>
        <v>1</v>
      </c>
      <c r="Q738">
        <f>IF(calls[[#This Row],[Rating rounded]]=5,1,0)</f>
        <v>0</v>
      </c>
    </row>
    <row r="739" spans="2:17" x14ac:dyDescent="0.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c r="M739" s="7" t="str">
        <f>_xlfn.XLOOKUP(calls[[#This Row],[Customer ID]],customers[Customer ID],customers[City])</f>
        <v>Columbus</v>
      </c>
      <c r="N739" s="3" t="str">
        <f>_xlfn.XLOOKUP(calls[[#This Row],[Customer ID]],customers[Customer ID],customers[Gedner])</f>
        <v>Male</v>
      </c>
      <c r="P739">
        <f>IF(calls[[#This Row],[Call number]]&lt;&gt;"",1,0)</f>
        <v>1</v>
      </c>
      <c r="Q739">
        <f>IF(calls[[#This Row],[Rating rounded]]=5,1,0)</f>
        <v>0</v>
      </c>
    </row>
    <row r="740" spans="2:17" x14ac:dyDescent="0.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c r="M740" s="7" t="str">
        <f>_xlfn.XLOOKUP(calls[[#This Row],[Customer ID]],customers[Customer ID],customers[City])</f>
        <v>Columbus</v>
      </c>
      <c r="N740" s="3" t="str">
        <f>_xlfn.XLOOKUP(calls[[#This Row],[Customer ID]],customers[Customer ID],customers[Gedner])</f>
        <v>Male</v>
      </c>
      <c r="P740">
        <f>IF(calls[[#This Row],[Call number]]&lt;&gt;"",1,0)</f>
        <v>1</v>
      </c>
      <c r="Q740">
        <f>IF(calls[[#This Row],[Rating rounded]]=5,1,0)</f>
        <v>1</v>
      </c>
    </row>
    <row r="741" spans="2:17" x14ac:dyDescent="0.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c r="M741" s="7" t="str">
        <f>_xlfn.XLOOKUP(calls[[#This Row],[Customer ID]],customers[Customer ID],customers[City])</f>
        <v>Cincinnati</v>
      </c>
      <c r="N741" s="3" t="str">
        <f>_xlfn.XLOOKUP(calls[[#This Row],[Customer ID]],customers[Customer ID],customers[Gedner])</f>
        <v>Male</v>
      </c>
      <c r="P741">
        <f>IF(calls[[#This Row],[Call number]]&lt;&gt;"",1,0)</f>
        <v>1</v>
      </c>
      <c r="Q741">
        <f>IF(calls[[#This Row],[Rating rounded]]=5,1,0)</f>
        <v>0</v>
      </c>
    </row>
    <row r="742" spans="2:17" x14ac:dyDescent="0.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c r="M742" s="7" t="str">
        <f>_xlfn.XLOOKUP(calls[[#This Row],[Customer ID]],customers[Customer ID],customers[City])</f>
        <v>Columbus</v>
      </c>
      <c r="N742" s="3" t="str">
        <f>_xlfn.XLOOKUP(calls[[#This Row],[Customer ID]],customers[Customer ID],customers[Gedner])</f>
        <v>Female</v>
      </c>
      <c r="P742">
        <f>IF(calls[[#This Row],[Call number]]&lt;&gt;"",1,0)</f>
        <v>1</v>
      </c>
      <c r="Q742">
        <f>IF(calls[[#This Row],[Rating rounded]]=5,1,0)</f>
        <v>1</v>
      </c>
    </row>
    <row r="743" spans="2:17" x14ac:dyDescent="0.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c r="M743" s="7" t="str">
        <f>_xlfn.XLOOKUP(calls[[#This Row],[Customer ID]],customers[Customer ID],customers[City])</f>
        <v>Cleveland</v>
      </c>
      <c r="N743" s="3" t="str">
        <f>_xlfn.XLOOKUP(calls[[#This Row],[Customer ID]],customers[Customer ID],customers[Gedner])</f>
        <v>Female</v>
      </c>
      <c r="P743">
        <f>IF(calls[[#This Row],[Call number]]&lt;&gt;"",1,0)</f>
        <v>1</v>
      </c>
      <c r="Q743">
        <f>IF(calls[[#This Row],[Rating rounded]]=5,1,0)</f>
        <v>0</v>
      </c>
    </row>
    <row r="744" spans="2:17" x14ac:dyDescent="0.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c r="M744" s="7" t="str">
        <f>_xlfn.XLOOKUP(calls[[#This Row],[Customer ID]],customers[Customer ID],customers[City])</f>
        <v>Columbus</v>
      </c>
      <c r="N744" s="3" t="str">
        <f>_xlfn.XLOOKUP(calls[[#This Row],[Customer ID]],customers[Customer ID],customers[Gedner])</f>
        <v>Male</v>
      </c>
      <c r="P744">
        <f>IF(calls[[#This Row],[Call number]]&lt;&gt;"",1,0)</f>
        <v>1</v>
      </c>
      <c r="Q744">
        <f>IF(calls[[#This Row],[Rating rounded]]=5,1,0)</f>
        <v>0</v>
      </c>
    </row>
    <row r="745" spans="2:17" x14ac:dyDescent="0.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c r="M745" s="7" t="str">
        <f>_xlfn.XLOOKUP(calls[[#This Row],[Customer ID]],customers[Customer ID],customers[City])</f>
        <v>Cincinnati</v>
      </c>
      <c r="N745" s="3" t="str">
        <f>_xlfn.XLOOKUP(calls[[#This Row],[Customer ID]],customers[Customer ID],customers[Gedner])</f>
        <v>Female</v>
      </c>
      <c r="P745">
        <f>IF(calls[[#This Row],[Call number]]&lt;&gt;"",1,0)</f>
        <v>1</v>
      </c>
      <c r="Q745">
        <f>IF(calls[[#This Row],[Rating rounded]]=5,1,0)</f>
        <v>0</v>
      </c>
    </row>
    <row r="746" spans="2:17" x14ac:dyDescent="0.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c r="M746" s="7" t="str">
        <f>_xlfn.XLOOKUP(calls[[#This Row],[Customer ID]],customers[Customer ID],customers[City])</f>
        <v>Cincinnati</v>
      </c>
      <c r="N746" s="3" t="str">
        <f>_xlfn.XLOOKUP(calls[[#This Row],[Customer ID]],customers[Customer ID],customers[Gedner])</f>
        <v>Male</v>
      </c>
      <c r="P746">
        <f>IF(calls[[#This Row],[Call number]]&lt;&gt;"",1,0)</f>
        <v>1</v>
      </c>
      <c r="Q746">
        <f>IF(calls[[#This Row],[Rating rounded]]=5,1,0)</f>
        <v>1</v>
      </c>
    </row>
    <row r="747" spans="2:17" x14ac:dyDescent="0.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c r="M747" s="7" t="str">
        <f>_xlfn.XLOOKUP(calls[[#This Row],[Customer ID]],customers[Customer ID],customers[City])</f>
        <v>Cleveland</v>
      </c>
      <c r="N747" s="3" t="str">
        <f>_xlfn.XLOOKUP(calls[[#This Row],[Customer ID]],customers[Customer ID],customers[Gedner])</f>
        <v>Female</v>
      </c>
      <c r="P747">
        <f>IF(calls[[#This Row],[Call number]]&lt;&gt;"",1,0)</f>
        <v>1</v>
      </c>
      <c r="Q747">
        <f>IF(calls[[#This Row],[Rating rounded]]=5,1,0)</f>
        <v>0</v>
      </c>
    </row>
    <row r="748" spans="2:17" x14ac:dyDescent="0.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c r="M748" s="7" t="str">
        <f>_xlfn.XLOOKUP(calls[[#This Row],[Customer ID]],customers[Customer ID],customers[City])</f>
        <v>Columbus</v>
      </c>
      <c r="N748" s="3" t="str">
        <f>_xlfn.XLOOKUP(calls[[#This Row],[Customer ID]],customers[Customer ID],customers[Gedner])</f>
        <v>Male</v>
      </c>
      <c r="P748">
        <f>IF(calls[[#This Row],[Call number]]&lt;&gt;"",1,0)</f>
        <v>1</v>
      </c>
      <c r="Q748">
        <f>IF(calls[[#This Row],[Rating rounded]]=5,1,0)</f>
        <v>0</v>
      </c>
    </row>
    <row r="749" spans="2:17" x14ac:dyDescent="0.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c r="M749" s="7" t="str">
        <f>_xlfn.XLOOKUP(calls[[#This Row],[Customer ID]],customers[Customer ID],customers[City])</f>
        <v>Cleveland</v>
      </c>
      <c r="N749" s="3" t="str">
        <f>_xlfn.XLOOKUP(calls[[#This Row],[Customer ID]],customers[Customer ID],customers[Gedner])</f>
        <v>Female</v>
      </c>
      <c r="P749">
        <f>IF(calls[[#This Row],[Call number]]&lt;&gt;"",1,0)</f>
        <v>1</v>
      </c>
      <c r="Q749">
        <f>IF(calls[[#This Row],[Rating rounded]]=5,1,0)</f>
        <v>1</v>
      </c>
    </row>
    <row r="750" spans="2:17" x14ac:dyDescent="0.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c r="M750" s="7" t="str">
        <f>_xlfn.XLOOKUP(calls[[#This Row],[Customer ID]],customers[Customer ID],customers[City])</f>
        <v>Cleveland</v>
      </c>
      <c r="N750" s="3" t="str">
        <f>_xlfn.XLOOKUP(calls[[#This Row],[Customer ID]],customers[Customer ID],customers[Gedner])</f>
        <v>Female</v>
      </c>
      <c r="P750">
        <f>IF(calls[[#This Row],[Call number]]&lt;&gt;"",1,0)</f>
        <v>1</v>
      </c>
      <c r="Q750">
        <f>IF(calls[[#This Row],[Rating rounded]]=5,1,0)</f>
        <v>0</v>
      </c>
    </row>
    <row r="751" spans="2:17" x14ac:dyDescent="0.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c r="M751" s="7" t="str">
        <f>_xlfn.XLOOKUP(calls[[#This Row],[Customer ID]],customers[Customer ID],customers[City])</f>
        <v>Cincinnati</v>
      </c>
      <c r="N751" s="3" t="str">
        <f>_xlfn.XLOOKUP(calls[[#This Row],[Customer ID]],customers[Customer ID],customers[Gedner])</f>
        <v>Female</v>
      </c>
      <c r="P751">
        <f>IF(calls[[#This Row],[Call number]]&lt;&gt;"",1,0)</f>
        <v>1</v>
      </c>
      <c r="Q751">
        <f>IF(calls[[#This Row],[Rating rounded]]=5,1,0)</f>
        <v>0</v>
      </c>
    </row>
    <row r="752" spans="2:17" x14ac:dyDescent="0.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c r="M752" s="7" t="str">
        <f>_xlfn.XLOOKUP(calls[[#This Row],[Customer ID]],customers[Customer ID],customers[City])</f>
        <v>Cincinnati</v>
      </c>
      <c r="N752" s="3" t="str">
        <f>_xlfn.XLOOKUP(calls[[#This Row],[Customer ID]],customers[Customer ID],customers[Gedner])</f>
        <v>Female</v>
      </c>
      <c r="P752">
        <f>IF(calls[[#This Row],[Call number]]&lt;&gt;"",1,0)</f>
        <v>1</v>
      </c>
      <c r="Q752">
        <f>IF(calls[[#This Row],[Rating rounded]]=5,1,0)</f>
        <v>1</v>
      </c>
    </row>
    <row r="753" spans="2:17" x14ac:dyDescent="0.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c r="M753" s="7" t="str">
        <f>_xlfn.XLOOKUP(calls[[#This Row],[Customer ID]],customers[Customer ID],customers[City])</f>
        <v>Cincinnati</v>
      </c>
      <c r="N753" s="3" t="str">
        <f>_xlfn.XLOOKUP(calls[[#This Row],[Customer ID]],customers[Customer ID],customers[Gedner])</f>
        <v>Female</v>
      </c>
      <c r="P753">
        <f>IF(calls[[#This Row],[Call number]]&lt;&gt;"",1,0)</f>
        <v>1</v>
      </c>
      <c r="Q753">
        <f>IF(calls[[#This Row],[Rating rounded]]=5,1,0)</f>
        <v>0</v>
      </c>
    </row>
    <row r="754" spans="2:17" x14ac:dyDescent="0.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c r="M754" s="7" t="str">
        <f>_xlfn.XLOOKUP(calls[[#This Row],[Customer ID]],customers[Customer ID],customers[City])</f>
        <v>Cleveland</v>
      </c>
      <c r="N754" s="3" t="str">
        <f>_xlfn.XLOOKUP(calls[[#This Row],[Customer ID]],customers[Customer ID],customers[Gedner])</f>
        <v>Female</v>
      </c>
      <c r="P754">
        <f>IF(calls[[#This Row],[Call number]]&lt;&gt;"",1,0)</f>
        <v>1</v>
      </c>
      <c r="Q754">
        <f>IF(calls[[#This Row],[Rating rounded]]=5,1,0)</f>
        <v>0</v>
      </c>
    </row>
    <row r="755" spans="2:17" x14ac:dyDescent="0.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c r="M755" s="7" t="str">
        <f>_xlfn.XLOOKUP(calls[[#This Row],[Customer ID]],customers[Customer ID],customers[City])</f>
        <v>Cleveland</v>
      </c>
      <c r="N755" s="3" t="str">
        <f>_xlfn.XLOOKUP(calls[[#This Row],[Customer ID]],customers[Customer ID],customers[Gedner])</f>
        <v>Female</v>
      </c>
      <c r="P755">
        <f>IF(calls[[#This Row],[Call number]]&lt;&gt;"",1,0)</f>
        <v>1</v>
      </c>
      <c r="Q755">
        <f>IF(calls[[#This Row],[Rating rounded]]=5,1,0)</f>
        <v>0</v>
      </c>
    </row>
    <row r="756" spans="2:17" x14ac:dyDescent="0.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c r="M756" s="7" t="str">
        <f>_xlfn.XLOOKUP(calls[[#This Row],[Customer ID]],customers[Customer ID],customers[City])</f>
        <v>Cleveland</v>
      </c>
      <c r="N756" s="3" t="str">
        <f>_xlfn.XLOOKUP(calls[[#This Row],[Customer ID]],customers[Customer ID],customers[Gedner])</f>
        <v>Female</v>
      </c>
      <c r="P756">
        <f>IF(calls[[#This Row],[Call number]]&lt;&gt;"",1,0)</f>
        <v>1</v>
      </c>
      <c r="Q756">
        <f>IF(calls[[#This Row],[Rating rounded]]=5,1,0)</f>
        <v>0</v>
      </c>
    </row>
    <row r="757" spans="2:17" x14ac:dyDescent="0.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c r="M757" s="7" t="str">
        <f>_xlfn.XLOOKUP(calls[[#This Row],[Customer ID]],customers[Customer ID],customers[City])</f>
        <v>Cincinnati</v>
      </c>
      <c r="N757" s="3" t="str">
        <f>_xlfn.XLOOKUP(calls[[#This Row],[Customer ID]],customers[Customer ID],customers[Gedner])</f>
        <v>Female</v>
      </c>
      <c r="P757">
        <f>IF(calls[[#This Row],[Call number]]&lt;&gt;"",1,0)</f>
        <v>1</v>
      </c>
      <c r="Q757">
        <f>IF(calls[[#This Row],[Rating rounded]]=5,1,0)</f>
        <v>0</v>
      </c>
    </row>
    <row r="758" spans="2:17" x14ac:dyDescent="0.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c r="M758" s="7" t="str">
        <f>_xlfn.XLOOKUP(calls[[#This Row],[Customer ID]],customers[Customer ID],customers[City])</f>
        <v>Cleveland</v>
      </c>
      <c r="N758" s="3" t="str">
        <f>_xlfn.XLOOKUP(calls[[#This Row],[Customer ID]],customers[Customer ID],customers[Gedner])</f>
        <v>Male</v>
      </c>
      <c r="P758">
        <f>IF(calls[[#This Row],[Call number]]&lt;&gt;"",1,0)</f>
        <v>1</v>
      </c>
      <c r="Q758">
        <f>IF(calls[[#This Row],[Rating rounded]]=5,1,0)</f>
        <v>1</v>
      </c>
    </row>
    <row r="759" spans="2:17" x14ac:dyDescent="0.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c r="M759" s="7" t="str">
        <f>_xlfn.XLOOKUP(calls[[#This Row],[Customer ID]],customers[Customer ID],customers[City])</f>
        <v>Columbus</v>
      </c>
      <c r="N759" s="3" t="str">
        <f>_xlfn.XLOOKUP(calls[[#This Row],[Customer ID]],customers[Customer ID],customers[Gedner])</f>
        <v>Male</v>
      </c>
      <c r="P759">
        <f>IF(calls[[#This Row],[Call number]]&lt;&gt;"",1,0)</f>
        <v>1</v>
      </c>
      <c r="Q759">
        <f>IF(calls[[#This Row],[Rating rounded]]=5,1,0)</f>
        <v>0</v>
      </c>
    </row>
    <row r="760" spans="2:17" x14ac:dyDescent="0.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c r="M760" s="7" t="str">
        <f>_xlfn.XLOOKUP(calls[[#This Row],[Customer ID]],customers[Customer ID],customers[City])</f>
        <v>Columbus</v>
      </c>
      <c r="N760" s="3" t="str">
        <f>_xlfn.XLOOKUP(calls[[#This Row],[Customer ID]],customers[Customer ID],customers[Gedner])</f>
        <v>Male</v>
      </c>
      <c r="P760">
        <f>IF(calls[[#This Row],[Call number]]&lt;&gt;"",1,0)</f>
        <v>1</v>
      </c>
      <c r="Q760">
        <f>IF(calls[[#This Row],[Rating rounded]]=5,1,0)</f>
        <v>0</v>
      </c>
    </row>
    <row r="761" spans="2:17" x14ac:dyDescent="0.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c r="M761" s="7" t="str">
        <f>_xlfn.XLOOKUP(calls[[#This Row],[Customer ID]],customers[Customer ID],customers[City])</f>
        <v>Cleveland</v>
      </c>
      <c r="N761" s="3" t="str">
        <f>_xlfn.XLOOKUP(calls[[#This Row],[Customer ID]],customers[Customer ID],customers[Gedner])</f>
        <v>Male</v>
      </c>
      <c r="P761">
        <f>IF(calls[[#This Row],[Call number]]&lt;&gt;"",1,0)</f>
        <v>1</v>
      </c>
      <c r="Q761">
        <f>IF(calls[[#This Row],[Rating rounded]]=5,1,0)</f>
        <v>1</v>
      </c>
    </row>
    <row r="762" spans="2:17" x14ac:dyDescent="0.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c r="M762" s="7" t="str">
        <f>_xlfn.XLOOKUP(calls[[#This Row],[Customer ID]],customers[Customer ID],customers[City])</f>
        <v>Columbus</v>
      </c>
      <c r="N762" s="3" t="str">
        <f>_xlfn.XLOOKUP(calls[[#This Row],[Customer ID]],customers[Customer ID],customers[Gedner])</f>
        <v>Male</v>
      </c>
      <c r="P762">
        <f>IF(calls[[#This Row],[Call number]]&lt;&gt;"",1,0)</f>
        <v>1</v>
      </c>
      <c r="Q762">
        <f>IF(calls[[#This Row],[Rating rounded]]=5,1,0)</f>
        <v>0</v>
      </c>
    </row>
    <row r="763" spans="2:17" x14ac:dyDescent="0.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c r="M763" s="7" t="str">
        <f>_xlfn.XLOOKUP(calls[[#This Row],[Customer ID]],customers[Customer ID],customers[City])</f>
        <v>Columbus</v>
      </c>
      <c r="N763" s="3" t="str">
        <f>_xlfn.XLOOKUP(calls[[#This Row],[Customer ID]],customers[Customer ID],customers[Gedner])</f>
        <v>Male</v>
      </c>
      <c r="P763">
        <f>IF(calls[[#This Row],[Call number]]&lt;&gt;"",1,0)</f>
        <v>1</v>
      </c>
      <c r="Q763">
        <f>IF(calls[[#This Row],[Rating rounded]]=5,1,0)</f>
        <v>1</v>
      </c>
    </row>
    <row r="764" spans="2:17" x14ac:dyDescent="0.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c r="M764" s="7" t="str">
        <f>_xlfn.XLOOKUP(calls[[#This Row],[Customer ID]],customers[Customer ID],customers[City])</f>
        <v>Columbus</v>
      </c>
      <c r="N764" s="3" t="str">
        <f>_xlfn.XLOOKUP(calls[[#This Row],[Customer ID]],customers[Customer ID],customers[Gedner])</f>
        <v>Male</v>
      </c>
      <c r="P764">
        <f>IF(calls[[#This Row],[Call number]]&lt;&gt;"",1,0)</f>
        <v>1</v>
      </c>
      <c r="Q764">
        <f>IF(calls[[#This Row],[Rating rounded]]=5,1,0)</f>
        <v>0</v>
      </c>
    </row>
    <row r="765" spans="2:17" x14ac:dyDescent="0.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c r="M765" s="7" t="str">
        <f>_xlfn.XLOOKUP(calls[[#This Row],[Customer ID]],customers[Customer ID],customers[City])</f>
        <v>Columbus</v>
      </c>
      <c r="N765" s="3" t="str">
        <f>_xlfn.XLOOKUP(calls[[#This Row],[Customer ID]],customers[Customer ID],customers[Gedner])</f>
        <v>Male</v>
      </c>
      <c r="P765">
        <f>IF(calls[[#This Row],[Call number]]&lt;&gt;"",1,0)</f>
        <v>1</v>
      </c>
      <c r="Q765">
        <f>IF(calls[[#This Row],[Rating rounded]]=5,1,0)</f>
        <v>0</v>
      </c>
    </row>
    <row r="766" spans="2:17" x14ac:dyDescent="0.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c r="M766" s="7" t="str">
        <f>_xlfn.XLOOKUP(calls[[#This Row],[Customer ID]],customers[Customer ID],customers[City])</f>
        <v>Columbus</v>
      </c>
      <c r="N766" s="3" t="str">
        <f>_xlfn.XLOOKUP(calls[[#This Row],[Customer ID]],customers[Customer ID],customers[Gedner])</f>
        <v>Male</v>
      </c>
      <c r="P766">
        <f>IF(calls[[#This Row],[Call number]]&lt;&gt;"",1,0)</f>
        <v>1</v>
      </c>
      <c r="Q766">
        <f>IF(calls[[#This Row],[Rating rounded]]=5,1,0)</f>
        <v>0</v>
      </c>
    </row>
    <row r="767" spans="2:17" x14ac:dyDescent="0.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c r="M767" s="7" t="str">
        <f>_xlfn.XLOOKUP(calls[[#This Row],[Customer ID]],customers[Customer ID],customers[City])</f>
        <v>Cleveland</v>
      </c>
      <c r="N767" s="3" t="str">
        <f>_xlfn.XLOOKUP(calls[[#This Row],[Customer ID]],customers[Customer ID],customers[Gedner])</f>
        <v>Female</v>
      </c>
      <c r="P767">
        <f>IF(calls[[#This Row],[Call number]]&lt;&gt;"",1,0)</f>
        <v>1</v>
      </c>
      <c r="Q767">
        <f>IF(calls[[#This Row],[Rating rounded]]=5,1,0)</f>
        <v>0</v>
      </c>
    </row>
    <row r="768" spans="2:17" x14ac:dyDescent="0.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c r="M768" s="7" t="str">
        <f>_xlfn.XLOOKUP(calls[[#This Row],[Customer ID]],customers[Customer ID],customers[City])</f>
        <v>Columbus</v>
      </c>
      <c r="N768" s="3" t="str">
        <f>_xlfn.XLOOKUP(calls[[#This Row],[Customer ID]],customers[Customer ID],customers[Gedner])</f>
        <v>Female</v>
      </c>
      <c r="P768">
        <f>IF(calls[[#This Row],[Call number]]&lt;&gt;"",1,0)</f>
        <v>1</v>
      </c>
      <c r="Q768">
        <f>IF(calls[[#This Row],[Rating rounded]]=5,1,0)</f>
        <v>1</v>
      </c>
    </row>
    <row r="769" spans="2:17" x14ac:dyDescent="0.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c r="M769" s="7" t="str">
        <f>_xlfn.XLOOKUP(calls[[#This Row],[Customer ID]],customers[Customer ID],customers[City])</f>
        <v>Cleveland</v>
      </c>
      <c r="N769" s="3" t="str">
        <f>_xlfn.XLOOKUP(calls[[#This Row],[Customer ID]],customers[Customer ID],customers[Gedner])</f>
        <v>Female</v>
      </c>
      <c r="P769">
        <f>IF(calls[[#This Row],[Call number]]&lt;&gt;"",1,0)</f>
        <v>1</v>
      </c>
      <c r="Q769">
        <f>IF(calls[[#This Row],[Rating rounded]]=5,1,0)</f>
        <v>0</v>
      </c>
    </row>
    <row r="770" spans="2:17" x14ac:dyDescent="0.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c r="M770" s="7" t="str">
        <f>_xlfn.XLOOKUP(calls[[#This Row],[Customer ID]],customers[Customer ID],customers[City])</f>
        <v>Cleveland</v>
      </c>
      <c r="N770" s="3" t="str">
        <f>_xlfn.XLOOKUP(calls[[#This Row],[Customer ID]],customers[Customer ID],customers[Gedner])</f>
        <v>Female</v>
      </c>
      <c r="P770">
        <f>IF(calls[[#This Row],[Call number]]&lt;&gt;"",1,0)</f>
        <v>1</v>
      </c>
      <c r="Q770">
        <f>IF(calls[[#This Row],[Rating rounded]]=5,1,0)</f>
        <v>0</v>
      </c>
    </row>
    <row r="771" spans="2:17" x14ac:dyDescent="0.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c r="M771" s="7" t="str">
        <f>_xlfn.XLOOKUP(calls[[#This Row],[Customer ID]],customers[Customer ID],customers[City])</f>
        <v>Cincinnati</v>
      </c>
      <c r="N771" s="3" t="str">
        <f>_xlfn.XLOOKUP(calls[[#This Row],[Customer ID]],customers[Customer ID],customers[Gedner])</f>
        <v>Male</v>
      </c>
      <c r="P771">
        <f>IF(calls[[#This Row],[Call number]]&lt;&gt;"",1,0)</f>
        <v>1</v>
      </c>
      <c r="Q771">
        <f>IF(calls[[#This Row],[Rating rounded]]=5,1,0)</f>
        <v>0</v>
      </c>
    </row>
    <row r="772" spans="2:17" x14ac:dyDescent="0.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c r="M772" s="7" t="str">
        <f>_xlfn.XLOOKUP(calls[[#This Row],[Customer ID]],customers[Customer ID],customers[City])</f>
        <v>Columbus</v>
      </c>
      <c r="N772" s="3" t="str">
        <f>_xlfn.XLOOKUP(calls[[#This Row],[Customer ID]],customers[Customer ID],customers[Gedner])</f>
        <v>Female</v>
      </c>
      <c r="P772">
        <f>IF(calls[[#This Row],[Call number]]&lt;&gt;"",1,0)</f>
        <v>1</v>
      </c>
      <c r="Q772">
        <f>IF(calls[[#This Row],[Rating rounded]]=5,1,0)</f>
        <v>0</v>
      </c>
    </row>
    <row r="773" spans="2:17" x14ac:dyDescent="0.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c r="M773" s="7" t="str">
        <f>_xlfn.XLOOKUP(calls[[#This Row],[Customer ID]],customers[Customer ID],customers[City])</f>
        <v>Cincinnati</v>
      </c>
      <c r="N773" s="3" t="str">
        <f>_xlfn.XLOOKUP(calls[[#This Row],[Customer ID]],customers[Customer ID],customers[Gedner])</f>
        <v>Male</v>
      </c>
      <c r="P773">
        <f>IF(calls[[#This Row],[Call number]]&lt;&gt;"",1,0)</f>
        <v>1</v>
      </c>
      <c r="Q773">
        <f>IF(calls[[#This Row],[Rating rounded]]=5,1,0)</f>
        <v>0</v>
      </c>
    </row>
    <row r="774" spans="2:17" x14ac:dyDescent="0.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c r="M774" s="7" t="str">
        <f>_xlfn.XLOOKUP(calls[[#This Row],[Customer ID]],customers[Customer ID],customers[City])</f>
        <v>Cincinnati</v>
      </c>
      <c r="N774" s="3" t="str">
        <f>_xlfn.XLOOKUP(calls[[#This Row],[Customer ID]],customers[Customer ID],customers[Gedner])</f>
        <v>Female</v>
      </c>
      <c r="P774">
        <f>IF(calls[[#This Row],[Call number]]&lt;&gt;"",1,0)</f>
        <v>1</v>
      </c>
      <c r="Q774">
        <f>IF(calls[[#This Row],[Rating rounded]]=5,1,0)</f>
        <v>0</v>
      </c>
    </row>
    <row r="775" spans="2:17" x14ac:dyDescent="0.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c r="M775" s="7" t="str">
        <f>_xlfn.XLOOKUP(calls[[#This Row],[Customer ID]],customers[Customer ID],customers[City])</f>
        <v>Columbus</v>
      </c>
      <c r="N775" s="3" t="str">
        <f>_xlfn.XLOOKUP(calls[[#This Row],[Customer ID]],customers[Customer ID],customers[Gedner])</f>
        <v>Female</v>
      </c>
      <c r="P775">
        <f>IF(calls[[#This Row],[Call number]]&lt;&gt;"",1,0)</f>
        <v>1</v>
      </c>
      <c r="Q775">
        <f>IF(calls[[#This Row],[Rating rounded]]=5,1,0)</f>
        <v>0</v>
      </c>
    </row>
    <row r="776" spans="2:17" x14ac:dyDescent="0.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c r="M776" s="7" t="str">
        <f>_xlfn.XLOOKUP(calls[[#This Row],[Customer ID]],customers[Customer ID],customers[City])</f>
        <v>Cleveland</v>
      </c>
      <c r="N776" s="3" t="str">
        <f>_xlfn.XLOOKUP(calls[[#This Row],[Customer ID]],customers[Customer ID],customers[Gedner])</f>
        <v>Female</v>
      </c>
      <c r="P776">
        <f>IF(calls[[#This Row],[Call number]]&lt;&gt;"",1,0)</f>
        <v>1</v>
      </c>
      <c r="Q776">
        <f>IF(calls[[#This Row],[Rating rounded]]=5,1,0)</f>
        <v>0</v>
      </c>
    </row>
    <row r="777" spans="2:17" x14ac:dyDescent="0.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c r="M777" s="7" t="str">
        <f>_xlfn.XLOOKUP(calls[[#This Row],[Customer ID]],customers[Customer ID],customers[City])</f>
        <v>Cleveland</v>
      </c>
      <c r="N777" s="3" t="str">
        <f>_xlfn.XLOOKUP(calls[[#This Row],[Customer ID]],customers[Customer ID],customers[Gedner])</f>
        <v>Female</v>
      </c>
      <c r="P777">
        <f>IF(calls[[#This Row],[Call number]]&lt;&gt;"",1,0)</f>
        <v>1</v>
      </c>
      <c r="Q777">
        <f>IF(calls[[#This Row],[Rating rounded]]=5,1,0)</f>
        <v>0</v>
      </c>
    </row>
    <row r="778" spans="2:17" x14ac:dyDescent="0.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c r="M778" s="7" t="str">
        <f>_xlfn.XLOOKUP(calls[[#This Row],[Customer ID]],customers[Customer ID],customers[City])</f>
        <v>Cincinnati</v>
      </c>
      <c r="N778" s="3" t="str">
        <f>_xlfn.XLOOKUP(calls[[#This Row],[Customer ID]],customers[Customer ID],customers[Gedner])</f>
        <v>Female</v>
      </c>
      <c r="P778">
        <f>IF(calls[[#This Row],[Call number]]&lt;&gt;"",1,0)</f>
        <v>1</v>
      </c>
      <c r="Q778">
        <f>IF(calls[[#This Row],[Rating rounded]]=5,1,0)</f>
        <v>1</v>
      </c>
    </row>
    <row r="779" spans="2:17" x14ac:dyDescent="0.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c r="M779" s="7" t="str">
        <f>_xlfn.XLOOKUP(calls[[#This Row],[Customer ID]],customers[Customer ID],customers[City])</f>
        <v>Cleveland</v>
      </c>
      <c r="N779" s="3" t="str">
        <f>_xlfn.XLOOKUP(calls[[#This Row],[Customer ID]],customers[Customer ID],customers[Gedner])</f>
        <v>Male</v>
      </c>
      <c r="P779">
        <f>IF(calls[[#This Row],[Call number]]&lt;&gt;"",1,0)</f>
        <v>1</v>
      </c>
      <c r="Q779">
        <f>IF(calls[[#This Row],[Rating rounded]]=5,1,0)</f>
        <v>0</v>
      </c>
    </row>
    <row r="780" spans="2:17" x14ac:dyDescent="0.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c r="M780" s="7" t="str">
        <f>_xlfn.XLOOKUP(calls[[#This Row],[Customer ID]],customers[Customer ID],customers[City])</f>
        <v>Columbus</v>
      </c>
      <c r="N780" s="3" t="str">
        <f>_xlfn.XLOOKUP(calls[[#This Row],[Customer ID]],customers[Customer ID],customers[Gedner])</f>
        <v>Male</v>
      </c>
      <c r="P780">
        <f>IF(calls[[#This Row],[Call number]]&lt;&gt;"",1,0)</f>
        <v>1</v>
      </c>
      <c r="Q780">
        <f>IF(calls[[#This Row],[Rating rounded]]=5,1,0)</f>
        <v>0</v>
      </c>
    </row>
    <row r="781" spans="2:17" x14ac:dyDescent="0.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c r="M781" s="7" t="str">
        <f>_xlfn.XLOOKUP(calls[[#This Row],[Customer ID]],customers[Customer ID],customers[City])</f>
        <v>Columbus</v>
      </c>
      <c r="N781" s="3" t="str">
        <f>_xlfn.XLOOKUP(calls[[#This Row],[Customer ID]],customers[Customer ID],customers[Gedner])</f>
        <v>Male</v>
      </c>
      <c r="P781">
        <f>IF(calls[[#This Row],[Call number]]&lt;&gt;"",1,0)</f>
        <v>1</v>
      </c>
      <c r="Q781">
        <f>IF(calls[[#This Row],[Rating rounded]]=5,1,0)</f>
        <v>1</v>
      </c>
    </row>
    <row r="782" spans="2:17" x14ac:dyDescent="0.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c r="M782" s="7" t="str">
        <f>_xlfn.XLOOKUP(calls[[#This Row],[Customer ID]],customers[Customer ID],customers[City])</f>
        <v>Cleveland</v>
      </c>
      <c r="N782" s="3" t="str">
        <f>_xlfn.XLOOKUP(calls[[#This Row],[Customer ID]],customers[Customer ID],customers[Gedner])</f>
        <v>Female</v>
      </c>
      <c r="P782">
        <f>IF(calls[[#This Row],[Call number]]&lt;&gt;"",1,0)</f>
        <v>1</v>
      </c>
      <c r="Q782">
        <f>IF(calls[[#This Row],[Rating rounded]]=5,1,0)</f>
        <v>0</v>
      </c>
    </row>
    <row r="783" spans="2:17" x14ac:dyDescent="0.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c r="M783" s="7" t="str">
        <f>_xlfn.XLOOKUP(calls[[#This Row],[Customer ID]],customers[Customer ID],customers[City])</f>
        <v>Cleveland</v>
      </c>
      <c r="N783" s="3" t="str">
        <f>_xlfn.XLOOKUP(calls[[#This Row],[Customer ID]],customers[Customer ID],customers[Gedner])</f>
        <v>Female</v>
      </c>
      <c r="P783">
        <f>IF(calls[[#This Row],[Call number]]&lt;&gt;"",1,0)</f>
        <v>1</v>
      </c>
      <c r="Q783">
        <f>IF(calls[[#This Row],[Rating rounded]]=5,1,0)</f>
        <v>0</v>
      </c>
    </row>
    <row r="784" spans="2:17" x14ac:dyDescent="0.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c r="M784" s="7" t="str">
        <f>_xlfn.XLOOKUP(calls[[#This Row],[Customer ID]],customers[Customer ID],customers[City])</f>
        <v>Cleveland</v>
      </c>
      <c r="N784" s="3" t="str">
        <f>_xlfn.XLOOKUP(calls[[#This Row],[Customer ID]],customers[Customer ID],customers[Gedner])</f>
        <v>Female</v>
      </c>
      <c r="P784">
        <f>IF(calls[[#This Row],[Call number]]&lt;&gt;"",1,0)</f>
        <v>1</v>
      </c>
      <c r="Q784">
        <f>IF(calls[[#This Row],[Rating rounded]]=5,1,0)</f>
        <v>0</v>
      </c>
    </row>
    <row r="785" spans="2:17" x14ac:dyDescent="0.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c r="M785" s="7" t="str">
        <f>_xlfn.XLOOKUP(calls[[#This Row],[Customer ID]],customers[Customer ID],customers[City])</f>
        <v>Cleveland</v>
      </c>
      <c r="N785" s="3" t="str">
        <f>_xlfn.XLOOKUP(calls[[#This Row],[Customer ID]],customers[Customer ID],customers[Gedner])</f>
        <v>Female</v>
      </c>
      <c r="P785">
        <f>IF(calls[[#This Row],[Call number]]&lt;&gt;"",1,0)</f>
        <v>1</v>
      </c>
      <c r="Q785">
        <f>IF(calls[[#This Row],[Rating rounded]]=5,1,0)</f>
        <v>1</v>
      </c>
    </row>
    <row r="786" spans="2:17" x14ac:dyDescent="0.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c r="M786" s="7" t="str">
        <f>_xlfn.XLOOKUP(calls[[#This Row],[Customer ID]],customers[Customer ID],customers[City])</f>
        <v>Cincinnati</v>
      </c>
      <c r="N786" s="3" t="str">
        <f>_xlfn.XLOOKUP(calls[[#This Row],[Customer ID]],customers[Customer ID],customers[Gedner])</f>
        <v>Female</v>
      </c>
      <c r="P786">
        <f>IF(calls[[#This Row],[Call number]]&lt;&gt;"",1,0)</f>
        <v>1</v>
      </c>
      <c r="Q786">
        <f>IF(calls[[#This Row],[Rating rounded]]=5,1,0)</f>
        <v>0</v>
      </c>
    </row>
    <row r="787" spans="2:17" x14ac:dyDescent="0.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c r="M787" s="7" t="str">
        <f>_xlfn.XLOOKUP(calls[[#This Row],[Customer ID]],customers[Customer ID],customers[City])</f>
        <v>Cleveland</v>
      </c>
      <c r="N787" s="3" t="str">
        <f>_xlfn.XLOOKUP(calls[[#This Row],[Customer ID]],customers[Customer ID],customers[Gedner])</f>
        <v>Female</v>
      </c>
      <c r="P787">
        <f>IF(calls[[#This Row],[Call number]]&lt;&gt;"",1,0)</f>
        <v>1</v>
      </c>
      <c r="Q787">
        <f>IF(calls[[#This Row],[Rating rounded]]=5,1,0)</f>
        <v>1</v>
      </c>
    </row>
    <row r="788" spans="2:17" x14ac:dyDescent="0.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c r="M788" s="7" t="str">
        <f>_xlfn.XLOOKUP(calls[[#This Row],[Customer ID]],customers[Customer ID],customers[City])</f>
        <v>Cleveland</v>
      </c>
      <c r="N788" s="3" t="str">
        <f>_xlfn.XLOOKUP(calls[[#This Row],[Customer ID]],customers[Customer ID],customers[Gedner])</f>
        <v>Female</v>
      </c>
      <c r="P788">
        <f>IF(calls[[#This Row],[Call number]]&lt;&gt;"",1,0)</f>
        <v>1</v>
      </c>
      <c r="Q788">
        <f>IF(calls[[#This Row],[Rating rounded]]=5,1,0)</f>
        <v>1</v>
      </c>
    </row>
    <row r="789" spans="2:17" x14ac:dyDescent="0.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c r="M789" s="7" t="str">
        <f>_xlfn.XLOOKUP(calls[[#This Row],[Customer ID]],customers[Customer ID],customers[City])</f>
        <v>Cleveland</v>
      </c>
      <c r="N789" s="3" t="str">
        <f>_xlfn.XLOOKUP(calls[[#This Row],[Customer ID]],customers[Customer ID],customers[Gedner])</f>
        <v>Female</v>
      </c>
      <c r="P789">
        <f>IF(calls[[#This Row],[Call number]]&lt;&gt;"",1,0)</f>
        <v>1</v>
      </c>
      <c r="Q789">
        <f>IF(calls[[#This Row],[Rating rounded]]=5,1,0)</f>
        <v>1</v>
      </c>
    </row>
    <row r="790" spans="2:17" x14ac:dyDescent="0.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c r="M790" s="7" t="str">
        <f>_xlfn.XLOOKUP(calls[[#This Row],[Customer ID]],customers[Customer ID],customers[City])</f>
        <v>Columbus</v>
      </c>
      <c r="N790" s="3" t="str">
        <f>_xlfn.XLOOKUP(calls[[#This Row],[Customer ID]],customers[Customer ID],customers[Gedner])</f>
        <v>Female</v>
      </c>
      <c r="P790">
        <f>IF(calls[[#This Row],[Call number]]&lt;&gt;"",1,0)</f>
        <v>1</v>
      </c>
      <c r="Q790">
        <f>IF(calls[[#This Row],[Rating rounded]]=5,1,0)</f>
        <v>0</v>
      </c>
    </row>
    <row r="791" spans="2:17" x14ac:dyDescent="0.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c r="M791" s="7" t="str">
        <f>_xlfn.XLOOKUP(calls[[#This Row],[Customer ID]],customers[Customer ID],customers[City])</f>
        <v>Columbus</v>
      </c>
      <c r="N791" s="3" t="str">
        <f>_xlfn.XLOOKUP(calls[[#This Row],[Customer ID]],customers[Customer ID],customers[Gedner])</f>
        <v>Female</v>
      </c>
      <c r="P791">
        <f>IF(calls[[#This Row],[Call number]]&lt;&gt;"",1,0)</f>
        <v>1</v>
      </c>
      <c r="Q791">
        <f>IF(calls[[#This Row],[Rating rounded]]=5,1,0)</f>
        <v>0</v>
      </c>
    </row>
    <row r="792" spans="2:17" x14ac:dyDescent="0.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c r="M792" s="7" t="str">
        <f>_xlfn.XLOOKUP(calls[[#This Row],[Customer ID]],customers[Customer ID],customers[City])</f>
        <v>Columbus</v>
      </c>
      <c r="N792" s="3" t="str">
        <f>_xlfn.XLOOKUP(calls[[#This Row],[Customer ID]],customers[Customer ID],customers[Gedner])</f>
        <v>Male</v>
      </c>
      <c r="P792">
        <f>IF(calls[[#This Row],[Call number]]&lt;&gt;"",1,0)</f>
        <v>1</v>
      </c>
      <c r="Q792">
        <f>IF(calls[[#This Row],[Rating rounded]]=5,1,0)</f>
        <v>0</v>
      </c>
    </row>
    <row r="793" spans="2:17" x14ac:dyDescent="0.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c r="M793" s="7" t="str">
        <f>_xlfn.XLOOKUP(calls[[#This Row],[Customer ID]],customers[Customer ID],customers[City])</f>
        <v>Cleveland</v>
      </c>
      <c r="N793" s="3" t="str">
        <f>_xlfn.XLOOKUP(calls[[#This Row],[Customer ID]],customers[Customer ID],customers[Gedner])</f>
        <v>Male</v>
      </c>
      <c r="P793">
        <f>IF(calls[[#This Row],[Call number]]&lt;&gt;"",1,0)</f>
        <v>1</v>
      </c>
      <c r="Q793">
        <f>IF(calls[[#This Row],[Rating rounded]]=5,1,0)</f>
        <v>1</v>
      </c>
    </row>
    <row r="794" spans="2:17" x14ac:dyDescent="0.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c r="M794" s="7" t="str">
        <f>_xlfn.XLOOKUP(calls[[#This Row],[Customer ID]],customers[Customer ID],customers[City])</f>
        <v>Columbus</v>
      </c>
      <c r="N794" s="3" t="str">
        <f>_xlfn.XLOOKUP(calls[[#This Row],[Customer ID]],customers[Customer ID],customers[Gedner])</f>
        <v>Female</v>
      </c>
      <c r="P794">
        <f>IF(calls[[#This Row],[Call number]]&lt;&gt;"",1,0)</f>
        <v>1</v>
      </c>
      <c r="Q794">
        <f>IF(calls[[#This Row],[Rating rounded]]=5,1,0)</f>
        <v>0</v>
      </c>
    </row>
    <row r="795" spans="2:17" x14ac:dyDescent="0.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c r="M795" s="7" t="str">
        <f>_xlfn.XLOOKUP(calls[[#This Row],[Customer ID]],customers[Customer ID],customers[City])</f>
        <v>Cleveland</v>
      </c>
      <c r="N795" s="3" t="str">
        <f>_xlfn.XLOOKUP(calls[[#This Row],[Customer ID]],customers[Customer ID],customers[Gedner])</f>
        <v>Female</v>
      </c>
      <c r="P795">
        <f>IF(calls[[#This Row],[Call number]]&lt;&gt;"",1,0)</f>
        <v>1</v>
      </c>
      <c r="Q795">
        <f>IF(calls[[#This Row],[Rating rounded]]=5,1,0)</f>
        <v>0</v>
      </c>
    </row>
    <row r="796" spans="2:17" x14ac:dyDescent="0.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c r="M796" s="7" t="str">
        <f>_xlfn.XLOOKUP(calls[[#This Row],[Customer ID]],customers[Customer ID],customers[City])</f>
        <v>Cincinnati</v>
      </c>
      <c r="N796" s="3" t="str">
        <f>_xlfn.XLOOKUP(calls[[#This Row],[Customer ID]],customers[Customer ID],customers[Gedner])</f>
        <v>Female</v>
      </c>
      <c r="P796">
        <f>IF(calls[[#This Row],[Call number]]&lt;&gt;"",1,0)</f>
        <v>1</v>
      </c>
      <c r="Q796">
        <f>IF(calls[[#This Row],[Rating rounded]]=5,1,0)</f>
        <v>0</v>
      </c>
    </row>
    <row r="797" spans="2:17" x14ac:dyDescent="0.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c r="M797" s="7" t="str">
        <f>_xlfn.XLOOKUP(calls[[#This Row],[Customer ID]],customers[Customer ID],customers[City])</f>
        <v>Cincinnati</v>
      </c>
      <c r="N797" s="3" t="str">
        <f>_xlfn.XLOOKUP(calls[[#This Row],[Customer ID]],customers[Customer ID],customers[Gedner])</f>
        <v>Female</v>
      </c>
      <c r="P797">
        <f>IF(calls[[#This Row],[Call number]]&lt;&gt;"",1,0)</f>
        <v>1</v>
      </c>
      <c r="Q797">
        <f>IF(calls[[#This Row],[Rating rounded]]=5,1,0)</f>
        <v>1</v>
      </c>
    </row>
    <row r="798" spans="2:17" x14ac:dyDescent="0.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c r="M798" s="7" t="str">
        <f>_xlfn.XLOOKUP(calls[[#This Row],[Customer ID]],customers[Customer ID],customers[City])</f>
        <v>Columbus</v>
      </c>
      <c r="N798" s="3" t="str">
        <f>_xlfn.XLOOKUP(calls[[#This Row],[Customer ID]],customers[Customer ID],customers[Gedner])</f>
        <v>Female</v>
      </c>
      <c r="P798">
        <f>IF(calls[[#This Row],[Call number]]&lt;&gt;"",1,0)</f>
        <v>1</v>
      </c>
      <c r="Q798">
        <f>IF(calls[[#This Row],[Rating rounded]]=5,1,0)</f>
        <v>1</v>
      </c>
    </row>
    <row r="799" spans="2:17" x14ac:dyDescent="0.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c r="M799" s="7" t="str">
        <f>_xlfn.XLOOKUP(calls[[#This Row],[Customer ID]],customers[Customer ID],customers[City])</f>
        <v>Cleveland</v>
      </c>
      <c r="N799" s="3" t="str">
        <f>_xlfn.XLOOKUP(calls[[#This Row],[Customer ID]],customers[Customer ID],customers[Gedner])</f>
        <v>Female</v>
      </c>
      <c r="P799">
        <f>IF(calls[[#This Row],[Call number]]&lt;&gt;"",1,0)</f>
        <v>1</v>
      </c>
      <c r="Q799">
        <f>IF(calls[[#This Row],[Rating rounded]]=5,1,0)</f>
        <v>0</v>
      </c>
    </row>
    <row r="800" spans="2:17" x14ac:dyDescent="0.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c r="M800" s="7" t="str">
        <f>_xlfn.XLOOKUP(calls[[#This Row],[Customer ID]],customers[Customer ID],customers[City])</f>
        <v>Cleveland</v>
      </c>
      <c r="N800" s="3" t="str">
        <f>_xlfn.XLOOKUP(calls[[#This Row],[Customer ID]],customers[Customer ID],customers[Gedner])</f>
        <v>Female</v>
      </c>
      <c r="P800">
        <f>IF(calls[[#This Row],[Call number]]&lt;&gt;"",1,0)</f>
        <v>1</v>
      </c>
      <c r="Q800">
        <f>IF(calls[[#This Row],[Rating rounded]]=5,1,0)</f>
        <v>1</v>
      </c>
    </row>
    <row r="801" spans="2:17" x14ac:dyDescent="0.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c r="M801" s="7" t="str">
        <f>_xlfn.XLOOKUP(calls[[#This Row],[Customer ID]],customers[Customer ID],customers[City])</f>
        <v>Columbus</v>
      </c>
      <c r="N801" s="3" t="str">
        <f>_xlfn.XLOOKUP(calls[[#This Row],[Customer ID]],customers[Customer ID],customers[Gedner])</f>
        <v>Female</v>
      </c>
      <c r="P801">
        <f>IF(calls[[#This Row],[Call number]]&lt;&gt;"",1,0)</f>
        <v>1</v>
      </c>
      <c r="Q801">
        <f>IF(calls[[#This Row],[Rating rounded]]=5,1,0)</f>
        <v>0</v>
      </c>
    </row>
    <row r="802" spans="2:17" x14ac:dyDescent="0.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c r="M802" s="7" t="str">
        <f>_xlfn.XLOOKUP(calls[[#This Row],[Customer ID]],customers[Customer ID],customers[City])</f>
        <v>Cincinnati</v>
      </c>
      <c r="N802" s="3" t="str">
        <f>_xlfn.XLOOKUP(calls[[#This Row],[Customer ID]],customers[Customer ID],customers[Gedner])</f>
        <v>Female</v>
      </c>
      <c r="P802">
        <f>IF(calls[[#This Row],[Call number]]&lt;&gt;"",1,0)</f>
        <v>1</v>
      </c>
      <c r="Q802">
        <f>IF(calls[[#This Row],[Rating rounded]]=5,1,0)</f>
        <v>0</v>
      </c>
    </row>
    <row r="803" spans="2:17" x14ac:dyDescent="0.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c r="M803" s="7" t="str">
        <f>_xlfn.XLOOKUP(calls[[#This Row],[Customer ID]],customers[Customer ID],customers[City])</f>
        <v>Columbus</v>
      </c>
      <c r="N803" s="3" t="str">
        <f>_xlfn.XLOOKUP(calls[[#This Row],[Customer ID]],customers[Customer ID],customers[Gedner])</f>
        <v>Male</v>
      </c>
      <c r="P803">
        <f>IF(calls[[#This Row],[Call number]]&lt;&gt;"",1,0)</f>
        <v>1</v>
      </c>
      <c r="Q803">
        <f>IF(calls[[#This Row],[Rating rounded]]=5,1,0)</f>
        <v>0</v>
      </c>
    </row>
    <row r="804" spans="2:17" x14ac:dyDescent="0.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c r="M804" s="7" t="str">
        <f>_xlfn.XLOOKUP(calls[[#This Row],[Customer ID]],customers[Customer ID],customers[City])</f>
        <v>Columbus</v>
      </c>
      <c r="N804" s="3" t="str">
        <f>_xlfn.XLOOKUP(calls[[#This Row],[Customer ID]],customers[Customer ID],customers[Gedner])</f>
        <v>Male</v>
      </c>
      <c r="P804">
        <f>IF(calls[[#This Row],[Call number]]&lt;&gt;"",1,0)</f>
        <v>1</v>
      </c>
      <c r="Q804">
        <f>IF(calls[[#This Row],[Rating rounded]]=5,1,0)</f>
        <v>0</v>
      </c>
    </row>
    <row r="805" spans="2:17" x14ac:dyDescent="0.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c r="M805" s="7" t="str">
        <f>_xlfn.XLOOKUP(calls[[#This Row],[Customer ID]],customers[Customer ID],customers[City])</f>
        <v>Cleveland</v>
      </c>
      <c r="N805" s="3" t="str">
        <f>_xlfn.XLOOKUP(calls[[#This Row],[Customer ID]],customers[Customer ID],customers[Gedner])</f>
        <v>Female</v>
      </c>
      <c r="P805">
        <f>IF(calls[[#This Row],[Call number]]&lt;&gt;"",1,0)</f>
        <v>1</v>
      </c>
      <c r="Q805">
        <f>IF(calls[[#This Row],[Rating rounded]]=5,1,0)</f>
        <v>0</v>
      </c>
    </row>
    <row r="806" spans="2:17" x14ac:dyDescent="0.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c r="M806" s="7" t="str">
        <f>_xlfn.XLOOKUP(calls[[#This Row],[Customer ID]],customers[Customer ID],customers[City])</f>
        <v>Columbus</v>
      </c>
      <c r="N806" s="3" t="str">
        <f>_xlfn.XLOOKUP(calls[[#This Row],[Customer ID]],customers[Customer ID],customers[Gedner])</f>
        <v>Male</v>
      </c>
      <c r="P806">
        <f>IF(calls[[#This Row],[Call number]]&lt;&gt;"",1,0)</f>
        <v>1</v>
      </c>
      <c r="Q806">
        <f>IF(calls[[#This Row],[Rating rounded]]=5,1,0)</f>
        <v>0</v>
      </c>
    </row>
    <row r="807" spans="2:17" x14ac:dyDescent="0.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c r="M807" s="7" t="str">
        <f>_xlfn.XLOOKUP(calls[[#This Row],[Customer ID]],customers[Customer ID],customers[City])</f>
        <v>Cincinnati</v>
      </c>
      <c r="N807" s="3" t="str">
        <f>_xlfn.XLOOKUP(calls[[#This Row],[Customer ID]],customers[Customer ID],customers[Gedner])</f>
        <v>Male</v>
      </c>
      <c r="P807">
        <f>IF(calls[[#This Row],[Call number]]&lt;&gt;"",1,0)</f>
        <v>1</v>
      </c>
      <c r="Q807">
        <f>IF(calls[[#This Row],[Rating rounded]]=5,1,0)</f>
        <v>1</v>
      </c>
    </row>
    <row r="808" spans="2:17" x14ac:dyDescent="0.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c r="M808" s="7" t="str">
        <f>_xlfn.XLOOKUP(calls[[#This Row],[Customer ID]],customers[Customer ID],customers[City])</f>
        <v>Columbus</v>
      </c>
      <c r="N808" s="3" t="str">
        <f>_xlfn.XLOOKUP(calls[[#This Row],[Customer ID]],customers[Customer ID],customers[Gedner])</f>
        <v>Male</v>
      </c>
      <c r="P808">
        <f>IF(calls[[#This Row],[Call number]]&lt;&gt;"",1,0)</f>
        <v>1</v>
      </c>
      <c r="Q808">
        <f>IF(calls[[#This Row],[Rating rounded]]=5,1,0)</f>
        <v>0</v>
      </c>
    </row>
    <row r="809" spans="2:17" x14ac:dyDescent="0.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c r="M809" s="7" t="str">
        <f>_xlfn.XLOOKUP(calls[[#This Row],[Customer ID]],customers[Customer ID],customers[City])</f>
        <v>Columbus</v>
      </c>
      <c r="N809" s="3" t="str">
        <f>_xlfn.XLOOKUP(calls[[#This Row],[Customer ID]],customers[Customer ID],customers[Gedner])</f>
        <v>Male</v>
      </c>
      <c r="P809">
        <f>IF(calls[[#This Row],[Call number]]&lt;&gt;"",1,0)</f>
        <v>1</v>
      </c>
      <c r="Q809">
        <f>IF(calls[[#This Row],[Rating rounded]]=5,1,0)</f>
        <v>0</v>
      </c>
    </row>
    <row r="810" spans="2:17" x14ac:dyDescent="0.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c r="M810" s="7" t="str">
        <f>_xlfn.XLOOKUP(calls[[#This Row],[Customer ID]],customers[Customer ID],customers[City])</f>
        <v>Cleveland</v>
      </c>
      <c r="N810" s="3" t="str">
        <f>_xlfn.XLOOKUP(calls[[#This Row],[Customer ID]],customers[Customer ID],customers[Gedner])</f>
        <v>Female</v>
      </c>
      <c r="P810">
        <f>IF(calls[[#This Row],[Call number]]&lt;&gt;"",1,0)</f>
        <v>1</v>
      </c>
      <c r="Q810">
        <f>IF(calls[[#This Row],[Rating rounded]]=5,1,0)</f>
        <v>1</v>
      </c>
    </row>
    <row r="811" spans="2:17" x14ac:dyDescent="0.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c r="M811" s="7" t="str">
        <f>_xlfn.XLOOKUP(calls[[#This Row],[Customer ID]],customers[Customer ID],customers[City])</f>
        <v>Cincinnati</v>
      </c>
      <c r="N811" s="3" t="str">
        <f>_xlfn.XLOOKUP(calls[[#This Row],[Customer ID]],customers[Customer ID],customers[Gedner])</f>
        <v>Female</v>
      </c>
      <c r="P811">
        <f>IF(calls[[#This Row],[Call number]]&lt;&gt;"",1,0)</f>
        <v>1</v>
      </c>
      <c r="Q811">
        <f>IF(calls[[#This Row],[Rating rounded]]=5,1,0)</f>
        <v>0</v>
      </c>
    </row>
    <row r="812" spans="2:17" x14ac:dyDescent="0.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c r="M812" s="7" t="str">
        <f>_xlfn.XLOOKUP(calls[[#This Row],[Customer ID]],customers[Customer ID],customers[City])</f>
        <v>Cleveland</v>
      </c>
      <c r="N812" s="3" t="str">
        <f>_xlfn.XLOOKUP(calls[[#This Row],[Customer ID]],customers[Customer ID],customers[Gedner])</f>
        <v>Male</v>
      </c>
      <c r="P812">
        <f>IF(calls[[#This Row],[Call number]]&lt;&gt;"",1,0)</f>
        <v>1</v>
      </c>
      <c r="Q812">
        <f>IF(calls[[#This Row],[Rating rounded]]=5,1,0)</f>
        <v>1</v>
      </c>
    </row>
    <row r="813" spans="2:17" x14ac:dyDescent="0.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c r="M813" s="7" t="str">
        <f>_xlfn.XLOOKUP(calls[[#This Row],[Customer ID]],customers[Customer ID],customers[City])</f>
        <v>Columbus</v>
      </c>
      <c r="N813" s="3" t="str">
        <f>_xlfn.XLOOKUP(calls[[#This Row],[Customer ID]],customers[Customer ID],customers[Gedner])</f>
        <v>Male</v>
      </c>
      <c r="P813">
        <f>IF(calls[[#This Row],[Call number]]&lt;&gt;"",1,0)</f>
        <v>1</v>
      </c>
      <c r="Q813">
        <f>IF(calls[[#This Row],[Rating rounded]]=5,1,0)</f>
        <v>0</v>
      </c>
    </row>
    <row r="814" spans="2:17" x14ac:dyDescent="0.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c r="M814" s="7" t="str">
        <f>_xlfn.XLOOKUP(calls[[#This Row],[Customer ID]],customers[Customer ID],customers[City])</f>
        <v>Cleveland</v>
      </c>
      <c r="N814" s="3" t="str">
        <f>_xlfn.XLOOKUP(calls[[#This Row],[Customer ID]],customers[Customer ID],customers[Gedner])</f>
        <v>Female</v>
      </c>
      <c r="P814">
        <f>IF(calls[[#This Row],[Call number]]&lt;&gt;"",1,0)</f>
        <v>1</v>
      </c>
      <c r="Q814">
        <f>IF(calls[[#This Row],[Rating rounded]]=5,1,0)</f>
        <v>0</v>
      </c>
    </row>
    <row r="815" spans="2:17" x14ac:dyDescent="0.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c r="M815" s="7" t="str">
        <f>_xlfn.XLOOKUP(calls[[#This Row],[Customer ID]],customers[Customer ID],customers[City])</f>
        <v>Cincinnati</v>
      </c>
      <c r="N815" s="3" t="str">
        <f>_xlfn.XLOOKUP(calls[[#This Row],[Customer ID]],customers[Customer ID],customers[Gedner])</f>
        <v>Female</v>
      </c>
      <c r="P815">
        <f>IF(calls[[#This Row],[Call number]]&lt;&gt;"",1,0)</f>
        <v>1</v>
      </c>
      <c r="Q815">
        <f>IF(calls[[#This Row],[Rating rounded]]=5,1,0)</f>
        <v>0</v>
      </c>
    </row>
    <row r="816" spans="2:17" x14ac:dyDescent="0.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c r="M816" s="7" t="str">
        <f>_xlfn.XLOOKUP(calls[[#This Row],[Customer ID]],customers[Customer ID],customers[City])</f>
        <v>Columbus</v>
      </c>
      <c r="N816" s="3" t="str">
        <f>_xlfn.XLOOKUP(calls[[#This Row],[Customer ID]],customers[Customer ID],customers[Gedner])</f>
        <v>Female</v>
      </c>
      <c r="P816">
        <f>IF(calls[[#This Row],[Call number]]&lt;&gt;"",1,0)</f>
        <v>1</v>
      </c>
      <c r="Q816">
        <f>IF(calls[[#This Row],[Rating rounded]]=5,1,0)</f>
        <v>0</v>
      </c>
    </row>
    <row r="817" spans="2:17" x14ac:dyDescent="0.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c r="M817" s="7" t="str">
        <f>_xlfn.XLOOKUP(calls[[#This Row],[Customer ID]],customers[Customer ID],customers[City])</f>
        <v>Cincinnati</v>
      </c>
      <c r="N817" s="3" t="str">
        <f>_xlfn.XLOOKUP(calls[[#This Row],[Customer ID]],customers[Customer ID],customers[Gedner])</f>
        <v>Female</v>
      </c>
      <c r="P817">
        <f>IF(calls[[#This Row],[Call number]]&lt;&gt;"",1,0)</f>
        <v>1</v>
      </c>
      <c r="Q817">
        <f>IF(calls[[#This Row],[Rating rounded]]=5,1,0)</f>
        <v>0</v>
      </c>
    </row>
    <row r="818" spans="2:17" x14ac:dyDescent="0.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c r="M818" s="7" t="str">
        <f>_xlfn.XLOOKUP(calls[[#This Row],[Customer ID]],customers[Customer ID],customers[City])</f>
        <v>Columbus</v>
      </c>
      <c r="N818" s="3" t="str">
        <f>_xlfn.XLOOKUP(calls[[#This Row],[Customer ID]],customers[Customer ID],customers[Gedner])</f>
        <v>Female</v>
      </c>
      <c r="P818">
        <f>IF(calls[[#This Row],[Call number]]&lt;&gt;"",1,0)</f>
        <v>1</v>
      </c>
      <c r="Q818">
        <f>IF(calls[[#This Row],[Rating rounded]]=5,1,0)</f>
        <v>0</v>
      </c>
    </row>
    <row r="819" spans="2:17" x14ac:dyDescent="0.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c r="M819" s="7" t="str">
        <f>_xlfn.XLOOKUP(calls[[#This Row],[Customer ID]],customers[Customer ID],customers[City])</f>
        <v>Columbus</v>
      </c>
      <c r="N819" s="3" t="str">
        <f>_xlfn.XLOOKUP(calls[[#This Row],[Customer ID]],customers[Customer ID],customers[Gedner])</f>
        <v>Male</v>
      </c>
      <c r="P819">
        <f>IF(calls[[#This Row],[Call number]]&lt;&gt;"",1,0)</f>
        <v>1</v>
      </c>
      <c r="Q819">
        <f>IF(calls[[#This Row],[Rating rounded]]=5,1,0)</f>
        <v>1</v>
      </c>
    </row>
    <row r="820" spans="2:17" x14ac:dyDescent="0.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c r="M820" s="7" t="str">
        <f>_xlfn.XLOOKUP(calls[[#This Row],[Customer ID]],customers[Customer ID],customers[City])</f>
        <v>Cleveland</v>
      </c>
      <c r="N820" s="3" t="str">
        <f>_xlfn.XLOOKUP(calls[[#This Row],[Customer ID]],customers[Customer ID],customers[Gedner])</f>
        <v>Female</v>
      </c>
      <c r="P820">
        <f>IF(calls[[#This Row],[Call number]]&lt;&gt;"",1,0)</f>
        <v>1</v>
      </c>
      <c r="Q820">
        <f>IF(calls[[#This Row],[Rating rounded]]=5,1,0)</f>
        <v>1</v>
      </c>
    </row>
    <row r="821" spans="2:17" x14ac:dyDescent="0.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c r="M821" s="7" t="str">
        <f>_xlfn.XLOOKUP(calls[[#This Row],[Customer ID]],customers[Customer ID],customers[City])</f>
        <v>Cleveland</v>
      </c>
      <c r="N821" s="3" t="str">
        <f>_xlfn.XLOOKUP(calls[[#This Row],[Customer ID]],customers[Customer ID],customers[Gedner])</f>
        <v>Female</v>
      </c>
      <c r="P821">
        <f>IF(calls[[#This Row],[Call number]]&lt;&gt;"",1,0)</f>
        <v>1</v>
      </c>
      <c r="Q821">
        <f>IF(calls[[#This Row],[Rating rounded]]=5,1,0)</f>
        <v>1</v>
      </c>
    </row>
    <row r="822" spans="2:17" x14ac:dyDescent="0.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c r="M822" s="7" t="str">
        <f>_xlfn.XLOOKUP(calls[[#This Row],[Customer ID]],customers[Customer ID],customers[City])</f>
        <v>Cleveland</v>
      </c>
      <c r="N822" s="3" t="str">
        <f>_xlfn.XLOOKUP(calls[[#This Row],[Customer ID]],customers[Customer ID],customers[Gedner])</f>
        <v>Female</v>
      </c>
      <c r="P822">
        <f>IF(calls[[#This Row],[Call number]]&lt;&gt;"",1,0)</f>
        <v>1</v>
      </c>
      <c r="Q822">
        <f>IF(calls[[#This Row],[Rating rounded]]=5,1,0)</f>
        <v>1</v>
      </c>
    </row>
    <row r="823" spans="2:17" x14ac:dyDescent="0.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c r="M823" s="7" t="str">
        <f>_xlfn.XLOOKUP(calls[[#This Row],[Customer ID]],customers[Customer ID],customers[City])</f>
        <v>Columbus</v>
      </c>
      <c r="N823" s="3" t="str">
        <f>_xlfn.XLOOKUP(calls[[#This Row],[Customer ID]],customers[Customer ID],customers[Gedner])</f>
        <v>Female</v>
      </c>
      <c r="P823">
        <f>IF(calls[[#This Row],[Call number]]&lt;&gt;"",1,0)</f>
        <v>1</v>
      </c>
      <c r="Q823">
        <f>IF(calls[[#This Row],[Rating rounded]]=5,1,0)</f>
        <v>0</v>
      </c>
    </row>
    <row r="824" spans="2:17" x14ac:dyDescent="0.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c r="M824" s="7" t="str">
        <f>_xlfn.XLOOKUP(calls[[#This Row],[Customer ID]],customers[Customer ID],customers[City])</f>
        <v>Columbus</v>
      </c>
      <c r="N824" s="3" t="str">
        <f>_xlfn.XLOOKUP(calls[[#This Row],[Customer ID]],customers[Customer ID],customers[Gedner])</f>
        <v>Female</v>
      </c>
      <c r="P824">
        <f>IF(calls[[#This Row],[Call number]]&lt;&gt;"",1,0)</f>
        <v>1</v>
      </c>
      <c r="Q824">
        <f>IF(calls[[#This Row],[Rating rounded]]=5,1,0)</f>
        <v>1</v>
      </c>
    </row>
    <row r="825" spans="2:17" x14ac:dyDescent="0.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c r="M825" s="7" t="str">
        <f>_xlfn.XLOOKUP(calls[[#This Row],[Customer ID]],customers[Customer ID],customers[City])</f>
        <v>Cleveland</v>
      </c>
      <c r="N825" s="3" t="str">
        <f>_xlfn.XLOOKUP(calls[[#This Row],[Customer ID]],customers[Customer ID],customers[Gedner])</f>
        <v>Female</v>
      </c>
      <c r="P825">
        <f>IF(calls[[#This Row],[Call number]]&lt;&gt;"",1,0)</f>
        <v>1</v>
      </c>
      <c r="Q825">
        <f>IF(calls[[#This Row],[Rating rounded]]=5,1,0)</f>
        <v>1</v>
      </c>
    </row>
    <row r="826" spans="2:17" x14ac:dyDescent="0.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c r="M826" s="7" t="str">
        <f>_xlfn.XLOOKUP(calls[[#This Row],[Customer ID]],customers[Customer ID],customers[City])</f>
        <v>Cincinnati</v>
      </c>
      <c r="N826" s="3" t="str">
        <f>_xlfn.XLOOKUP(calls[[#This Row],[Customer ID]],customers[Customer ID],customers[Gedner])</f>
        <v>Male</v>
      </c>
      <c r="P826">
        <f>IF(calls[[#This Row],[Call number]]&lt;&gt;"",1,0)</f>
        <v>1</v>
      </c>
      <c r="Q826">
        <f>IF(calls[[#This Row],[Rating rounded]]=5,1,0)</f>
        <v>1</v>
      </c>
    </row>
    <row r="827" spans="2:17" x14ac:dyDescent="0.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c r="M827" s="7" t="str">
        <f>_xlfn.XLOOKUP(calls[[#This Row],[Customer ID]],customers[Customer ID],customers[City])</f>
        <v>Columbus</v>
      </c>
      <c r="N827" s="3" t="str">
        <f>_xlfn.XLOOKUP(calls[[#This Row],[Customer ID]],customers[Customer ID],customers[Gedner])</f>
        <v>Male</v>
      </c>
      <c r="P827">
        <f>IF(calls[[#This Row],[Call number]]&lt;&gt;"",1,0)</f>
        <v>1</v>
      </c>
      <c r="Q827">
        <f>IF(calls[[#This Row],[Rating rounded]]=5,1,0)</f>
        <v>1</v>
      </c>
    </row>
    <row r="828" spans="2:17" x14ac:dyDescent="0.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c r="M828" s="7" t="str">
        <f>_xlfn.XLOOKUP(calls[[#This Row],[Customer ID]],customers[Customer ID],customers[City])</f>
        <v>Cleveland</v>
      </c>
      <c r="N828" s="3" t="str">
        <f>_xlfn.XLOOKUP(calls[[#This Row],[Customer ID]],customers[Customer ID],customers[Gedner])</f>
        <v>Female</v>
      </c>
      <c r="P828">
        <f>IF(calls[[#This Row],[Call number]]&lt;&gt;"",1,0)</f>
        <v>1</v>
      </c>
      <c r="Q828">
        <f>IF(calls[[#This Row],[Rating rounded]]=5,1,0)</f>
        <v>0</v>
      </c>
    </row>
    <row r="829" spans="2:17" x14ac:dyDescent="0.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c r="M829" s="7" t="str">
        <f>_xlfn.XLOOKUP(calls[[#This Row],[Customer ID]],customers[Customer ID],customers[City])</f>
        <v>Columbus</v>
      </c>
      <c r="N829" s="3" t="str">
        <f>_xlfn.XLOOKUP(calls[[#This Row],[Customer ID]],customers[Customer ID],customers[Gedner])</f>
        <v>Male</v>
      </c>
      <c r="P829">
        <f>IF(calls[[#This Row],[Call number]]&lt;&gt;"",1,0)</f>
        <v>1</v>
      </c>
      <c r="Q829">
        <f>IF(calls[[#This Row],[Rating rounded]]=5,1,0)</f>
        <v>1</v>
      </c>
    </row>
    <row r="830" spans="2:17" x14ac:dyDescent="0.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c r="M830" s="7" t="str">
        <f>_xlfn.XLOOKUP(calls[[#This Row],[Customer ID]],customers[Customer ID],customers[City])</f>
        <v>Cleveland</v>
      </c>
      <c r="N830" s="3" t="str">
        <f>_xlfn.XLOOKUP(calls[[#This Row],[Customer ID]],customers[Customer ID],customers[Gedner])</f>
        <v>Female</v>
      </c>
      <c r="P830">
        <f>IF(calls[[#This Row],[Call number]]&lt;&gt;"",1,0)</f>
        <v>1</v>
      </c>
      <c r="Q830">
        <f>IF(calls[[#This Row],[Rating rounded]]=5,1,0)</f>
        <v>1</v>
      </c>
    </row>
    <row r="831" spans="2:17" x14ac:dyDescent="0.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c r="M831" s="7" t="str">
        <f>_xlfn.XLOOKUP(calls[[#This Row],[Customer ID]],customers[Customer ID],customers[City])</f>
        <v>Cincinnati</v>
      </c>
      <c r="N831" s="3" t="str">
        <f>_xlfn.XLOOKUP(calls[[#This Row],[Customer ID]],customers[Customer ID],customers[Gedner])</f>
        <v>Male</v>
      </c>
      <c r="P831">
        <f>IF(calls[[#This Row],[Call number]]&lt;&gt;"",1,0)</f>
        <v>1</v>
      </c>
      <c r="Q831">
        <f>IF(calls[[#This Row],[Rating rounded]]=5,1,0)</f>
        <v>1</v>
      </c>
    </row>
    <row r="832" spans="2:17" x14ac:dyDescent="0.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c r="M832" s="7" t="str">
        <f>_xlfn.XLOOKUP(calls[[#This Row],[Customer ID]],customers[Customer ID],customers[City])</f>
        <v>Cincinnati</v>
      </c>
      <c r="N832" s="3" t="str">
        <f>_xlfn.XLOOKUP(calls[[#This Row],[Customer ID]],customers[Customer ID],customers[Gedner])</f>
        <v>Male</v>
      </c>
      <c r="P832">
        <f>IF(calls[[#This Row],[Call number]]&lt;&gt;"",1,0)</f>
        <v>1</v>
      </c>
      <c r="Q832">
        <f>IF(calls[[#This Row],[Rating rounded]]=5,1,0)</f>
        <v>0</v>
      </c>
    </row>
    <row r="833" spans="2:17" x14ac:dyDescent="0.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c r="M833" s="7" t="str">
        <f>_xlfn.XLOOKUP(calls[[#This Row],[Customer ID]],customers[Customer ID],customers[City])</f>
        <v>Columbus</v>
      </c>
      <c r="N833" s="3" t="str">
        <f>_xlfn.XLOOKUP(calls[[#This Row],[Customer ID]],customers[Customer ID],customers[Gedner])</f>
        <v>Male</v>
      </c>
      <c r="P833">
        <f>IF(calls[[#This Row],[Call number]]&lt;&gt;"",1,0)</f>
        <v>1</v>
      </c>
      <c r="Q833">
        <f>IF(calls[[#This Row],[Rating rounded]]=5,1,0)</f>
        <v>0</v>
      </c>
    </row>
    <row r="834" spans="2:17" x14ac:dyDescent="0.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c r="M834" s="7" t="str">
        <f>_xlfn.XLOOKUP(calls[[#This Row],[Customer ID]],customers[Customer ID],customers[City])</f>
        <v>Cleveland</v>
      </c>
      <c r="N834" s="3" t="str">
        <f>_xlfn.XLOOKUP(calls[[#This Row],[Customer ID]],customers[Customer ID],customers[Gedner])</f>
        <v>Female</v>
      </c>
      <c r="P834">
        <f>IF(calls[[#This Row],[Call number]]&lt;&gt;"",1,0)</f>
        <v>1</v>
      </c>
      <c r="Q834">
        <f>IF(calls[[#This Row],[Rating rounded]]=5,1,0)</f>
        <v>1</v>
      </c>
    </row>
    <row r="835" spans="2:17" x14ac:dyDescent="0.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c r="M835" s="7" t="str">
        <f>_xlfn.XLOOKUP(calls[[#This Row],[Customer ID]],customers[Customer ID],customers[City])</f>
        <v>Cincinnati</v>
      </c>
      <c r="N835" s="3" t="str">
        <f>_xlfn.XLOOKUP(calls[[#This Row],[Customer ID]],customers[Customer ID],customers[Gedner])</f>
        <v>Male</v>
      </c>
      <c r="P835">
        <f>IF(calls[[#This Row],[Call number]]&lt;&gt;"",1,0)</f>
        <v>1</v>
      </c>
      <c r="Q835">
        <f>IF(calls[[#This Row],[Rating rounded]]=5,1,0)</f>
        <v>0</v>
      </c>
    </row>
    <row r="836" spans="2:17" x14ac:dyDescent="0.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c r="M836" s="7" t="str">
        <f>_xlfn.XLOOKUP(calls[[#This Row],[Customer ID]],customers[Customer ID],customers[City])</f>
        <v>Cincinnati</v>
      </c>
      <c r="N836" s="3" t="str">
        <f>_xlfn.XLOOKUP(calls[[#This Row],[Customer ID]],customers[Customer ID],customers[Gedner])</f>
        <v>Female</v>
      </c>
      <c r="P836">
        <f>IF(calls[[#This Row],[Call number]]&lt;&gt;"",1,0)</f>
        <v>1</v>
      </c>
      <c r="Q836">
        <f>IF(calls[[#This Row],[Rating rounded]]=5,1,0)</f>
        <v>1</v>
      </c>
    </row>
    <row r="837" spans="2:17" x14ac:dyDescent="0.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c r="M837" s="7" t="str">
        <f>_xlfn.XLOOKUP(calls[[#This Row],[Customer ID]],customers[Customer ID],customers[City])</f>
        <v>Cincinnati</v>
      </c>
      <c r="N837" s="3" t="str">
        <f>_xlfn.XLOOKUP(calls[[#This Row],[Customer ID]],customers[Customer ID],customers[Gedner])</f>
        <v>Male</v>
      </c>
      <c r="P837">
        <f>IF(calls[[#This Row],[Call number]]&lt;&gt;"",1,0)</f>
        <v>1</v>
      </c>
      <c r="Q837">
        <f>IF(calls[[#This Row],[Rating rounded]]=5,1,0)</f>
        <v>1</v>
      </c>
    </row>
    <row r="838" spans="2:17" x14ac:dyDescent="0.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c r="M838" s="7" t="str">
        <f>_xlfn.XLOOKUP(calls[[#This Row],[Customer ID]],customers[Customer ID],customers[City])</f>
        <v>Cincinnati</v>
      </c>
      <c r="N838" s="3" t="str">
        <f>_xlfn.XLOOKUP(calls[[#This Row],[Customer ID]],customers[Customer ID],customers[Gedner])</f>
        <v>Female</v>
      </c>
      <c r="P838">
        <f>IF(calls[[#This Row],[Call number]]&lt;&gt;"",1,0)</f>
        <v>1</v>
      </c>
      <c r="Q838">
        <f>IF(calls[[#This Row],[Rating rounded]]=5,1,0)</f>
        <v>0</v>
      </c>
    </row>
    <row r="839" spans="2:17" x14ac:dyDescent="0.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c r="M839" s="7" t="str">
        <f>_xlfn.XLOOKUP(calls[[#This Row],[Customer ID]],customers[Customer ID],customers[City])</f>
        <v>Cincinnati</v>
      </c>
      <c r="N839" s="3" t="str">
        <f>_xlfn.XLOOKUP(calls[[#This Row],[Customer ID]],customers[Customer ID],customers[Gedner])</f>
        <v>Female</v>
      </c>
      <c r="P839">
        <f>IF(calls[[#This Row],[Call number]]&lt;&gt;"",1,0)</f>
        <v>1</v>
      </c>
      <c r="Q839">
        <f>IF(calls[[#This Row],[Rating rounded]]=5,1,0)</f>
        <v>0</v>
      </c>
    </row>
    <row r="840" spans="2:17" x14ac:dyDescent="0.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c r="M840" s="7" t="str">
        <f>_xlfn.XLOOKUP(calls[[#This Row],[Customer ID]],customers[Customer ID],customers[City])</f>
        <v>Cleveland</v>
      </c>
      <c r="N840" s="3" t="str">
        <f>_xlfn.XLOOKUP(calls[[#This Row],[Customer ID]],customers[Customer ID],customers[Gedner])</f>
        <v>Female</v>
      </c>
      <c r="P840">
        <f>IF(calls[[#This Row],[Call number]]&lt;&gt;"",1,0)</f>
        <v>1</v>
      </c>
      <c r="Q840">
        <f>IF(calls[[#This Row],[Rating rounded]]=5,1,0)</f>
        <v>0</v>
      </c>
    </row>
    <row r="841" spans="2:17" x14ac:dyDescent="0.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c r="M841" s="7" t="str">
        <f>_xlfn.XLOOKUP(calls[[#This Row],[Customer ID]],customers[Customer ID],customers[City])</f>
        <v>Columbus</v>
      </c>
      <c r="N841" s="3" t="str">
        <f>_xlfn.XLOOKUP(calls[[#This Row],[Customer ID]],customers[Customer ID],customers[Gedner])</f>
        <v>Female</v>
      </c>
      <c r="P841">
        <f>IF(calls[[#This Row],[Call number]]&lt;&gt;"",1,0)</f>
        <v>1</v>
      </c>
      <c r="Q841">
        <f>IF(calls[[#This Row],[Rating rounded]]=5,1,0)</f>
        <v>0</v>
      </c>
    </row>
    <row r="842" spans="2:17" x14ac:dyDescent="0.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c r="M842" s="7" t="str">
        <f>_xlfn.XLOOKUP(calls[[#This Row],[Customer ID]],customers[Customer ID],customers[City])</f>
        <v>Cleveland</v>
      </c>
      <c r="N842" s="3" t="str">
        <f>_xlfn.XLOOKUP(calls[[#This Row],[Customer ID]],customers[Customer ID],customers[Gedner])</f>
        <v>Female</v>
      </c>
      <c r="P842">
        <f>IF(calls[[#This Row],[Call number]]&lt;&gt;"",1,0)</f>
        <v>1</v>
      </c>
      <c r="Q842">
        <f>IF(calls[[#This Row],[Rating rounded]]=5,1,0)</f>
        <v>0</v>
      </c>
    </row>
    <row r="843" spans="2:17" x14ac:dyDescent="0.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c r="M843" s="7" t="str">
        <f>_xlfn.XLOOKUP(calls[[#This Row],[Customer ID]],customers[Customer ID],customers[City])</f>
        <v>Cleveland</v>
      </c>
      <c r="N843" s="3" t="str">
        <f>_xlfn.XLOOKUP(calls[[#This Row],[Customer ID]],customers[Customer ID],customers[Gedner])</f>
        <v>Female</v>
      </c>
      <c r="P843">
        <f>IF(calls[[#This Row],[Call number]]&lt;&gt;"",1,0)</f>
        <v>1</v>
      </c>
      <c r="Q843">
        <f>IF(calls[[#This Row],[Rating rounded]]=5,1,0)</f>
        <v>0</v>
      </c>
    </row>
    <row r="844" spans="2:17" x14ac:dyDescent="0.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c r="M844" s="7" t="str">
        <f>_xlfn.XLOOKUP(calls[[#This Row],[Customer ID]],customers[Customer ID],customers[City])</f>
        <v>Cleveland</v>
      </c>
      <c r="N844" s="3" t="str">
        <f>_xlfn.XLOOKUP(calls[[#This Row],[Customer ID]],customers[Customer ID],customers[Gedner])</f>
        <v>Female</v>
      </c>
      <c r="P844">
        <f>IF(calls[[#This Row],[Call number]]&lt;&gt;"",1,0)</f>
        <v>1</v>
      </c>
      <c r="Q844">
        <f>IF(calls[[#This Row],[Rating rounded]]=5,1,0)</f>
        <v>0</v>
      </c>
    </row>
    <row r="845" spans="2:17" x14ac:dyDescent="0.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c r="M845" s="7" t="str">
        <f>_xlfn.XLOOKUP(calls[[#This Row],[Customer ID]],customers[Customer ID],customers[City])</f>
        <v>Columbus</v>
      </c>
      <c r="N845" s="3" t="str">
        <f>_xlfn.XLOOKUP(calls[[#This Row],[Customer ID]],customers[Customer ID],customers[Gedner])</f>
        <v>Female</v>
      </c>
      <c r="P845">
        <f>IF(calls[[#This Row],[Call number]]&lt;&gt;"",1,0)</f>
        <v>1</v>
      </c>
      <c r="Q845">
        <f>IF(calls[[#This Row],[Rating rounded]]=5,1,0)</f>
        <v>0</v>
      </c>
    </row>
    <row r="846" spans="2:17" x14ac:dyDescent="0.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c r="M846" s="7" t="str">
        <f>_xlfn.XLOOKUP(calls[[#This Row],[Customer ID]],customers[Customer ID],customers[City])</f>
        <v>Columbus</v>
      </c>
      <c r="N846" s="3" t="str">
        <f>_xlfn.XLOOKUP(calls[[#This Row],[Customer ID]],customers[Customer ID],customers[Gedner])</f>
        <v>Male</v>
      </c>
      <c r="P846">
        <f>IF(calls[[#This Row],[Call number]]&lt;&gt;"",1,0)</f>
        <v>1</v>
      </c>
      <c r="Q846">
        <f>IF(calls[[#This Row],[Rating rounded]]=5,1,0)</f>
        <v>0</v>
      </c>
    </row>
    <row r="847" spans="2:17" x14ac:dyDescent="0.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c r="M847" s="7" t="str">
        <f>_xlfn.XLOOKUP(calls[[#This Row],[Customer ID]],customers[Customer ID],customers[City])</f>
        <v>Cleveland</v>
      </c>
      <c r="N847" s="3" t="str">
        <f>_xlfn.XLOOKUP(calls[[#This Row],[Customer ID]],customers[Customer ID],customers[Gedner])</f>
        <v>Female</v>
      </c>
      <c r="P847">
        <f>IF(calls[[#This Row],[Call number]]&lt;&gt;"",1,0)</f>
        <v>1</v>
      </c>
      <c r="Q847">
        <f>IF(calls[[#This Row],[Rating rounded]]=5,1,0)</f>
        <v>0</v>
      </c>
    </row>
    <row r="848" spans="2:17" x14ac:dyDescent="0.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c r="M848" s="7" t="str">
        <f>_xlfn.XLOOKUP(calls[[#This Row],[Customer ID]],customers[Customer ID],customers[City])</f>
        <v>Cleveland</v>
      </c>
      <c r="N848" s="3" t="str">
        <f>_xlfn.XLOOKUP(calls[[#This Row],[Customer ID]],customers[Customer ID],customers[Gedner])</f>
        <v>Female</v>
      </c>
      <c r="P848">
        <f>IF(calls[[#This Row],[Call number]]&lt;&gt;"",1,0)</f>
        <v>1</v>
      </c>
      <c r="Q848">
        <f>IF(calls[[#This Row],[Rating rounded]]=5,1,0)</f>
        <v>0</v>
      </c>
    </row>
    <row r="849" spans="2:17" x14ac:dyDescent="0.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c r="M849" s="7" t="str">
        <f>_xlfn.XLOOKUP(calls[[#This Row],[Customer ID]],customers[Customer ID],customers[City])</f>
        <v>Cleveland</v>
      </c>
      <c r="N849" s="3" t="str">
        <f>_xlfn.XLOOKUP(calls[[#This Row],[Customer ID]],customers[Customer ID],customers[Gedner])</f>
        <v>Female</v>
      </c>
      <c r="P849">
        <f>IF(calls[[#This Row],[Call number]]&lt;&gt;"",1,0)</f>
        <v>1</v>
      </c>
      <c r="Q849">
        <f>IF(calls[[#This Row],[Rating rounded]]=5,1,0)</f>
        <v>1</v>
      </c>
    </row>
    <row r="850" spans="2:17" x14ac:dyDescent="0.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c r="M850" s="7" t="str">
        <f>_xlfn.XLOOKUP(calls[[#This Row],[Customer ID]],customers[Customer ID],customers[City])</f>
        <v>Columbus</v>
      </c>
      <c r="N850" s="3" t="str">
        <f>_xlfn.XLOOKUP(calls[[#This Row],[Customer ID]],customers[Customer ID],customers[Gedner])</f>
        <v>Female</v>
      </c>
      <c r="P850">
        <f>IF(calls[[#This Row],[Call number]]&lt;&gt;"",1,0)</f>
        <v>1</v>
      </c>
      <c r="Q850">
        <f>IF(calls[[#This Row],[Rating rounded]]=5,1,0)</f>
        <v>0</v>
      </c>
    </row>
    <row r="851" spans="2:17" x14ac:dyDescent="0.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c r="M851" s="7" t="str">
        <f>_xlfn.XLOOKUP(calls[[#This Row],[Customer ID]],customers[Customer ID],customers[City])</f>
        <v>Cleveland</v>
      </c>
      <c r="N851" s="3" t="str">
        <f>_xlfn.XLOOKUP(calls[[#This Row],[Customer ID]],customers[Customer ID],customers[Gedner])</f>
        <v>Female</v>
      </c>
      <c r="P851">
        <f>IF(calls[[#This Row],[Call number]]&lt;&gt;"",1,0)</f>
        <v>1</v>
      </c>
      <c r="Q851">
        <f>IF(calls[[#This Row],[Rating rounded]]=5,1,0)</f>
        <v>0</v>
      </c>
    </row>
    <row r="852" spans="2:17" x14ac:dyDescent="0.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c r="M852" s="7" t="str">
        <f>_xlfn.XLOOKUP(calls[[#This Row],[Customer ID]],customers[Customer ID],customers[City])</f>
        <v>Cincinnati</v>
      </c>
      <c r="N852" s="3" t="str">
        <f>_xlfn.XLOOKUP(calls[[#This Row],[Customer ID]],customers[Customer ID],customers[Gedner])</f>
        <v>Male</v>
      </c>
      <c r="P852">
        <f>IF(calls[[#This Row],[Call number]]&lt;&gt;"",1,0)</f>
        <v>1</v>
      </c>
      <c r="Q852">
        <f>IF(calls[[#This Row],[Rating rounded]]=5,1,0)</f>
        <v>0</v>
      </c>
    </row>
    <row r="853" spans="2:17" x14ac:dyDescent="0.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c r="M853" s="7" t="str">
        <f>_xlfn.XLOOKUP(calls[[#This Row],[Customer ID]],customers[Customer ID],customers[City])</f>
        <v>Cincinnati</v>
      </c>
      <c r="N853" s="3" t="str">
        <f>_xlfn.XLOOKUP(calls[[#This Row],[Customer ID]],customers[Customer ID],customers[Gedner])</f>
        <v>Male</v>
      </c>
      <c r="P853">
        <f>IF(calls[[#This Row],[Call number]]&lt;&gt;"",1,0)</f>
        <v>1</v>
      </c>
      <c r="Q853">
        <f>IF(calls[[#This Row],[Rating rounded]]=5,1,0)</f>
        <v>1</v>
      </c>
    </row>
    <row r="854" spans="2:17" x14ac:dyDescent="0.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c r="M854" s="7" t="str">
        <f>_xlfn.XLOOKUP(calls[[#This Row],[Customer ID]],customers[Customer ID],customers[City])</f>
        <v>Cleveland</v>
      </c>
      <c r="N854" s="3" t="str">
        <f>_xlfn.XLOOKUP(calls[[#This Row],[Customer ID]],customers[Customer ID],customers[Gedner])</f>
        <v>Male</v>
      </c>
      <c r="P854">
        <f>IF(calls[[#This Row],[Call number]]&lt;&gt;"",1,0)</f>
        <v>1</v>
      </c>
      <c r="Q854">
        <f>IF(calls[[#This Row],[Rating rounded]]=5,1,0)</f>
        <v>0</v>
      </c>
    </row>
    <row r="855" spans="2:17" x14ac:dyDescent="0.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c r="M855" s="7" t="str">
        <f>_xlfn.XLOOKUP(calls[[#This Row],[Customer ID]],customers[Customer ID],customers[City])</f>
        <v>Cincinnati</v>
      </c>
      <c r="N855" s="3" t="str">
        <f>_xlfn.XLOOKUP(calls[[#This Row],[Customer ID]],customers[Customer ID],customers[Gedner])</f>
        <v>Male</v>
      </c>
      <c r="P855">
        <f>IF(calls[[#This Row],[Call number]]&lt;&gt;"",1,0)</f>
        <v>1</v>
      </c>
      <c r="Q855">
        <f>IF(calls[[#This Row],[Rating rounded]]=5,1,0)</f>
        <v>1</v>
      </c>
    </row>
    <row r="856" spans="2:17" x14ac:dyDescent="0.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c r="M856" s="7" t="str">
        <f>_xlfn.XLOOKUP(calls[[#This Row],[Customer ID]],customers[Customer ID],customers[City])</f>
        <v>Cleveland</v>
      </c>
      <c r="N856" s="3" t="str">
        <f>_xlfn.XLOOKUP(calls[[#This Row],[Customer ID]],customers[Customer ID],customers[Gedner])</f>
        <v>Female</v>
      </c>
      <c r="P856">
        <f>IF(calls[[#This Row],[Call number]]&lt;&gt;"",1,0)</f>
        <v>1</v>
      </c>
      <c r="Q856">
        <f>IF(calls[[#This Row],[Rating rounded]]=5,1,0)</f>
        <v>0</v>
      </c>
    </row>
    <row r="857" spans="2:17" x14ac:dyDescent="0.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c r="M857" s="7" t="str">
        <f>_xlfn.XLOOKUP(calls[[#This Row],[Customer ID]],customers[Customer ID],customers[City])</f>
        <v>Cleveland</v>
      </c>
      <c r="N857" s="3" t="str">
        <f>_xlfn.XLOOKUP(calls[[#This Row],[Customer ID]],customers[Customer ID],customers[Gedner])</f>
        <v>Female</v>
      </c>
      <c r="P857">
        <f>IF(calls[[#This Row],[Call number]]&lt;&gt;"",1,0)</f>
        <v>1</v>
      </c>
      <c r="Q857">
        <f>IF(calls[[#This Row],[Rating rounded]]=5,1,0)</f>
        <v>0</v>
      </c>
    </row>
    <row r="858" spans="2:17" x14ac:dyDescent="0.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c r="M858" s="7" t="str">
        <f>_xlfn.XLOOKUP(calls[[#This Row],[Customer ID]],customers[Customer ID],customers[City])</f>
        <v>Columbus</v>
      </c>
      <c r="N858" s="3" t="str">
        <f>_xlfn.XLOOKUP(calls[[#This Row],[Customer ID]],customers[Customer ID],customers[Gedner])</f>
        <v>Female</v>
      </c>
      <c r="P858">
        <f>IF(calls[[#This Row],[Call number]]&lt;&gt;"",1,0)</f>
        <v>1</v>
      </c>
      <c r="Q858">
        <f>IF(calls[[#This Row],[Rating rounded]]=5,1,0)</f>
        <v>0</v>
      </c>
    </row>
    <row r="859" spans="2:17" x14ac:dyDescent="0.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c r="M859" s="7" t="str">
        <f>_xlfn.XLOOKUP(calls[[#This Row],[Customer ID]],customers[Customer ID],customers[City])</f>
        <v>Cleveland</v>
      </c>
      <c r="N859" s="3" t="str">
        <f>_xlfn.XLOOKUP(calls[[#This Row],[Customer ID]],customers[Customer ID],customers[Gedner])</f>
        <v>Female</v>
      </c>
      <c r="P859">
        <f>IF(calls[[#This Row],[Call number]]&lt;&gt;"",1,0)</f>
        <v>1</v>
      </c>
      <c r="Q859">
        <f>IF(calls[[#This Row],[Rating rounded]]=5,1,0)</f>
        <v>1</v>
      </c>
    </row>
    <row r="860" spans="2:17" x14ac:dyDescent="0.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c r="M860" s="7" t="str">
        <f>_xlfn.XLOOKUP(calls[[#This Row],[Customer ID]],customers[Customer ID],customers[City])</f>
        <v>Cleveland</v>
      </c>
      <c r="N860" s="3" t="str">
        <f>_xlfn.XLOOKUP(calls[[#This Row],[Customer ID]],customers[Customer ID],customers[Gedner])</f>
        <v>Male</v>
      </c>
      <c r="P860">
        <f>IF(calls[[#This Row],[Call number]]&lt;&gt;"",1,0)</f>
        <v>1</v>
      </c>
      <c r="Q860">
        <f>IF(calls[[#This Row],[Rating rounded]]=5,1,0)</f>
        <v>0</v>
      </c>
    </row>
    <row r="861" spans="2:17" x14ac:dyDescent="0.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c r="M861" s="7" t="str">
        <f>_xlfn.XLOOKUP(calls[[#This Row],[Customer ID]],customers[Customer ID],customers[City])</f>
        <v>Cincinnati</v>
      </c>
      <c r="N861" s="3" t="str">
        <f>_xlfn.XLOOKUP(calls[[#This Row],[Customer ID]],customers[Customer ID],customers[Gedner])</f>
        <v>Female</v>
      </c>
      <c r="P861">
        <f>IF(calls[[#This Row],[Call number]]&lt;&gt;"",1,0)</f>
        <v>1</v>
      </c>
      <c r="Q861">
        <f>IF(calls[[#This Row],[Rating rounded]]=5,1,0)</f>
        <v>0</v>
      </c>
    </row>
    <row r="862" spans="2:17" x14ac:dyDescent="0.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c r="M862" s="7" t="str">
        <f>_xlfn.XLOOKUP(calls[[#This Row],[Customer ID]],customers[Customer ID],customers[City])</f>
        <v>Cincinnati</v>
      </c>
      <c r="N862" s="3" t="str">
        <f>_xlfn.XLOOKUP(calls[[#This Row],[Customer ID]],customers[Customer ID],customers[Gedner])</f>
        <v>Female</v>
      </c>
      <c r="P862">
        <f>IF(calls[[#This Row],[Call number]]&lt;&gt;"",1,0)</f>
        <v>1</v>
      </c>
      <c r="Q862">
        <f>IF(calls[[#This Row],[Rating rounded]]=5,1,0)</f>
        <v>1</v>
      </c>
    </row>
    <row r="863" spans="2:17" x14ac:dyDescent="0.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c r="M863" s="7" t="str">
        <f>_xlfn.XLOOKUP(calls[[#This Row],[Customer ID]],customers[Customer ID],customers[City])</f>
        <v>Cincinnati</v>
      </c>
      <c r="N863" s="3" t="str">
        <f>_xlfn.XLOOKUP(calls[[#This Row],[Customer ID]],customers[Customer ID],customers[Gedner])</f>
        <v>Female</v>
      </c>
      <c r="P863">
        <f>IF(calls[[#This Row],[Call number]]&lt;&gt;"",1,0)</f>
        <v>1</v>
      </c>
      <c r="Q863">
        <f>IF(calls[[#This Row],[Rating rounded]]=5,1,0)</f>
        <v>0</v>
      </c>
    </row>
    <row r="864" spans="2:17" x14ac:dyDescent="0.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c r="M864" s="7" t="str">
        <f>_xlfn.XLOOKUP(calls[[#This Row],[Customer ID]],customers[Customer ID],customers[City])</f>
        <v>Cleveland</v>
      </c>
      <c r="N864" s="3" t="str">
        <f>_xlfn.XLOOKUP(calls[[#This Row],[Customer ID]],customers[Customer ID],customers[Gedner])</f>
        <v>Female</v>
      </c>
      <c r="P864">
        <f>IF(calls[[#This Row],[Call number]]&lt;&gt;"",1,0)</f>
        <v>1</v>
      </c>
      <c r="Q864">
        <f>IF(calls[[#This Row],[Rating rounded]]=5,1,0)</f>
        <v>1</v>
      </c>
    </row>
    <row r="865" spans="2:17" x14ac:dyDescent="0.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c r="M865" s="7" t="str">
        <f>_xlfn.XLOOKUP(calls[[#This Row],[Customer ID]],customers[Customer ID],customers[City])</f>
        <v>Cincinnati</v>
      </c>
      <c r="N865" s="3" t="str">
        <f>_xlfn.XLOOKUP(calls[[#This Row],[Customer ID]],customers[Customer ID],customers[Gedner])</f>
        <v>Male</v>
      </c>
      <c r="P865">
        <f>IF(calls[[#This Row],[Call number]]&lt;&gt;"",1,0)</f>
        <v>1</v>
      </c>
      <c r="Q865">
        <f>IF(calls[[#This Row],[Rating rounded]]=5,1,0)</f>
        <v>0</v>
      </c>
    </row>
    <row r="866" spans="2:17" x14ac:dyDescent="0.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c r="M866" s="7" t="str">
        <f>_xlfn.XLOOKUP(calls[[#This Row],[Customer ID]],customers[Customer ID],customers[City])</f>
        <v>Cleveland</v>
      </c>
      <c r="N866" s="3" t="str">
        <f>_xlfn.XLOOKUP(calls[[#This Row],[Customer ID]],customers[Customer ID],customers[Gedner])</f>
        <v>Female</v>
      </c>
      <c r="P866">
        <f>IF(calls[[#This Row],[Call number]]&lt;&gt;"",1,0)</f>
        <v>1</v>
      </c>
      <c r="Q866">
        <f>IF(calls[[#This Row],[Rating rounded]]=5,1,0)</f>
        <v>1</v>
      </c>
    </row>
    <row r="867" spans="2:17" x14ac:dyDescent="0.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c r="M867" s="7" t="str">
        <f>_xlfn.XLOOKUP(calls[[#This Row],[Customer ID]],customers[Customer ID],customers[City])</f>
        <v>Cleveland</v>
      </c>
      <c r="N867" s="3" t="str">
        <f>_xlfn.XLOOKUP(calls[[#This Row],[Customer ID]],customers[Customer ID],customers[Gedner])</f>
        <v>Female</v>
      </c>
      <c r="P867">
        <f>IF(calls[[#This Row],[Call number]]&lt;&gt;"",1,0)</f>
        <v>1</v>
      </c>
      <c r="Q867">
        <f>IF(calls[[#This Row],[Rating rounded]]=5,1,0)</f>
        <v>0</v>
      </c>
    </row>
    <row r="868" spans="2:17" x14ac:dyDescent="0.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c r="M868" s="7" t="str">
        <f>_xlfn.XLOOKUP(calls[[#This Row],[Customer ID]],customers[Customer ID],customers[City])</f>
        <v>Cleveland</v>
      </c>
      <c r="N868" s="3" t="str">
        <f>_xlfn.XLOOKUP(calls[[#This Row],[Customer ID]],customers[Customer ID],customers[Gedner])</f>
        <v>Male</v>
      </c>
      <c r="P868">
        <f>IF(calls[[#This Row],[Call number]]&lt;&gt;"",1,0)</f>
        <v>1</v>
      </c>
      <c r="Q868">
        <f>IF(calls[[#This Row],[Rating rounded]]=5,1,0)</f>
        <v>1</v>
      </c>
    </row>
    <row r="869" spans="2:17" x14ac:dyDescent="0.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c r="M869" s="7" t="str">
        <f>_xlfn.XLOOKUP(calls[[#This Row],[Customer ID]],customers[Customer ID],customers[City])</f>
        <v>Cincinnati</v>
      </c>
      <c r="N869" s="3" t="str">
        <f>_xlfn.XLOOKUP(calls[[#This Row],[Customer ID]],customers[Customer ID],customers[Gedner])</f>
        <v>Female</v>
      </c>
      <c r="P869">
        <f>IF(calls[[#This Row],[Call number]]&lt;&gt;"",1,0)</f>
        <v>1</v>
      </c>
      <c r="Q869">
        <f>IF(calls[[#This Row],[Rating rounded]]=5,1,0)</f>
        <v>0</v>
      </c>
    </row>
    <row r="870" spans="2:17" x14ac:dyDescent="0.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c r="M870" s="7" t="str">
        <f>_xlfn.XLOOKUP(calls[[#This Row],[Customer ID]],customers[Customer ID],customers[City])</f>
        <v>Cincinnati</v>
      </c>
      <c r="N870" s="3" t="str">
        <f>_xlfn.XLOOKUP(calls[[#This Row],[Customer ID]],customers[Customer ID],customers[Gedner])</f>
        <v>Female</v>
      </c>
      <c r="P870">
        <f>IF(calls[[#This Row],[Call number]]&lt;&gt;"",1,0)</f>
        <v>1</v>
      </c>
      <c r="Q870">
        <f>IF(calls[[#This Row],[Rating rounded]]=5,1,0)</f>
        <v>0</v>
      </c>
    </row>
    <row r="871" spans="2:17" x14ac:dyDescent="0.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c r="M871" s="7" t="str">
        <f>_xlfn.XLOOKUP(calls[[#This Row],[Customer ID]],customers[Customer ID],customers[City])</f>
        <v>Columbus</v>
      </c>
      <c r="N871" s="3" t="str">
        <f>_xlfn.XLOOKUP(calls[[#This Row],[Customer ID]],customers[Customer ID],customers[Gedner])</f>
        <v>Female</v>
      </c>
      <c r="P871">
        <f>IF(calls[[#This Row],[Call number]]&lt;&gt;"",1,0)</f>
        <v>1</v>
      </c>
      <c r="Q871">
        <f>IF(calls[[#This Row],[Rating rounded]]=5,1,0)</f>
        <v>0</v>
      </c>
    </row>
    <row r="872" spans="2:17" x14ac:dyDescent="0.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c r="M872" s="7" t="str">
        <f>_xlfn.XLOOKUP(calls[[#This Row],[Customer ID]],customers[Customer ID],customers[City])</f>
        <v>Columbus</v>
      </c>
      <c r="N872" s="3" t="str">
        <f>_xlfn.XLOOKUP(calls[[#This Row],[Customer ID]],customers[Customer ID],customers[Gedner])</f>
        <v>Male</v>
      </c>
      <c r="P872">
        <f>IF(calls[[#This Row],[Call number]]&lt;&gt;"",1,0)</f>
        <v>1</v>
      </c>
      <c r="Q872">
        <f>IF(calls[[#This Row],[Rating rounded]]=5,1,0)</f>
        <v>0</v>
      </c>
    </row>
    <row r="873" spans="2:17" x14ac:dyDescent="0.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c r="M873" s="7" t="str">
        <f>_xlfn.XLOOKUP(calls[[#This Row],[Customer ID]],customers[Customer ID],customers[City])</f>
        <v>Columbus</v>
      </c>
      <c r="N873" s="3" t="str">
        <f>_xlfn.XLOOKUP(calls[[#This Row],[Customer ID]],customers[Customer ID],customers[Gedner])</f>
        <v>Male</v>
      </c>
      <c r="P873">
        <f>IF(calls[[#This Row],[Call number]]&lt;&gt;"",1,0)</f>
        <v>1</v>
      </c>
      <c r="Q873">
        <f>IF(calls[[#This Row],[Rating rounded]]=5,1,0)</f>
        <v>0</v>
      </c>
    </row>
    <row r="874" spans="2:17" x14ac:dyDescent="0.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c r="M874" s="7" t="str">
        <f>_xlfn.XLOOKUP(calls[[#This Row],[Customer ID]],customers[Customer ID],customers[City])</f>
        <v>Cincinnati</v>
      </c>
      <c r="N874" s="3" t="str">
        <f>_xlfn.XLOOKUP(calls[[#This Row],[Customer ID]],customers[Customer ID],customers[Gedner])</f>
        <v>Female</v>
      </c>
      <c r="P874">
        <f>IF(calls[[#This Row],[Call number]]&lt;&gt;"",1,0)</f>
        <v>1</v>
      </c>
      <c r="Q874">
        <f>IF(calls[[#This Row],[Rating rounded]]=5,1,0)</f>
        <v>0</v>
      </c>
    </row>
    <row r="875" spans="2:17" x14ac:dyDescent="0.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c r="M875" s="7" t="str">
        <f>_xlfn.XLOOKUP(calls[[#This Row],[Customer ID]],customers[Customer ID],customers[City])</f>
        <v>Cincinnati</v>
      </c>
      <c r="N875" s="3" t="str">
        <f>_xlfn.XLOOKUP(calls[[#This Row],[Customer ID]],customers[Customer ID],customers[Gedner])</f>
        <v>Female</v>
      </c>
      <c r="P875">
        <f>IF(calls[[#This Row],[Call number]]&lt;&gt;"",1,0)</f>
        <v>1</v>
      </c>
      <c r="Q875">
        <f>IF(calls[[#This Row],[Rating rounded]]=5,1,0)</f>
        <v>0</v>
      </c>
    </row>
    <row r="876" spans="2:17" x14ac:dyDescent="0.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c r="M876" s="7" t="str">
        <f>_xlfn.XLOOKUP(calls[[#This Row],[Customer ID]],customers[Customer ID],customers[City])</f>
        <v>Columbus</v>
      </c>
      <c r="N876" s="3" t="str">
        <f>_xlfn.XLOOKUP(calls[[#This Row],[Customer ID]],customers[Customer ID],customers[Gedner])</f>
        <v>Female</v>
      </c>
      <c r="P876">
        <f>IF(calls[[#This Row],[Call number]]&lt;&gt;"",1,0)</f>
        <v>1</v>
      </c>
      <c r="Q876">
        <f>IF(calls[[#This Row],[Rating rounded]]=5,1,0)</f>
        <v>0</v>
      </c>
    </row>
    <row r="877" spans="2:17" x14ac:dyDescent="0.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c r="M877" s="7" t="str">
        <f>_xlfn.XLOOKUP(calls[[#This Row],[Customer ID]],customers[Customer ID],customers[City])</f>
        <v>Cleveland</v>
      </c>
      <c r="N877" s="3" t="str">
        <f>_xlfn.XLOOKUP(calls[[#This Row],[Customer ID]],customers[Customer ID],customers[Gedner])</f>
        <v>Female</v>
      </c>
      <c r="P877">
        <f>IF(calls[[#This Row],[Call number]]&lt;&gt;"",1,0)</f>
        <v>1</v>
      </c>
      <c r="Q877">
        <f>IF(calls[[#This Row],[Rating rounded]]=5,1,0)</f>
        <v>0</v>
      </c>
    </row>
    <row r="878" spans="2:17" x14ac:dyDescent="0.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c r="M878" s="7" t="str">
        <f>_xlfn.XLOOKUP(calls[[#This Row],[Customer ID]],customers[Customer ID],customers[City])</f>
        <v>Cincinnati</v>
      </c>
      <c r="N878" s="3" t="str">
        <f>_xlfn.XLOOKUP(calls[[#This Row],[Customer ID]],customers[Customer ID],customers[Gedner])</f>
        <v>Female</v>
      </c>
      <c r="P878">
        <f>IF(calls[[#This Row],[Call number]]&lt;&gt;"",1,0)</f>
        <v>1</v>
      </c>
      <c r="Q878">
        <f>IF(calls[[#This Row],[Rating rounded]]=5,1,0)</f>
        <v>1</v>
      </c>
    </row>
    <row r="879" spans="2:17" x14ac:dyDescent="0.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c r="M879" s="7" t="str">
        <f>_xlfn.XLOOKUP(calls[[#This Row],[Customer ID]],customers[Customer ID],customers[City])</f>
        <v>Cincinnati</v>
      </c>
      <c r="N879" s="3" t="str">
        <f>_xlfn.XLOOKUP(calls[[#This Row],[Customer ID]],customers[Customer ID],customers[Gedner])</f>
        <v>Male</v>
      </c>
      <c r="P879">
        <f>IF(calls[[#This Row],[Call number]]&lt;&gt;"",1,0)</f>
        <v>1</v>
      </c>
      <c r="Q879">
        <f>IF(calls[[#This Row],[Rating rounded]]=5,1,0)</f>
        <v>0</v>
      </c>
    </row>
    <row r="880" spans="2:17" x14ac:dyDescent="0.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c r="M880" s="7" t="str">
        <f>_xlfn.XLOOKUP(calls[[#This Row],[Customer ID]],customers[Customer ID],customers[City])</f>
        <v>Columbus</v>
      </c>
      <c r="N880" s="3" t="str">
        <f>_xlfn.XLOOKUP(calls[[#This Row],[Customer ID]],customers[Customer ID],customers[Gedner])</f>
        <v>Female</v>
      </c>
      <c r="P880">
        <f>IF(calls[[#This Row],[Call number]]&lt;&gt;"",1,0)</f>
        <v>1</v>
      </c>
      <c r="Q880">
        <f>IF(calls[[#This Row],[Rating rounded]]=5,1,0)</f>
        <v>0</v>
      </c>
    </row>
    <row r="881" spans="2:17" x14ac:dyDescent="0.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c r="M881" s="7" t="str">
        <f>_xlfn.XLOOKUP(calls[[#This Row],[Customer ID]],customers[Customer ID],customers[City])</f>
        <v>Cleveland</v>
      </c>
      <c r="N881" s="3" t="str">
        <f>_xlfn.XLOOKUP(calls[[#This Row],[Customer ID]],customers[Customer ID],customers[Gedner])</f>
        <v>Male</v>
      </c>
      <c r="P881">
        <f>IF(calls[[#This Row],[Call number]]&lt;&gt;"",1,0)</f>
        <v>1</v>
      </c>
      <c r="Q881">
        <f>IF(calls[[#This Row],[Rating rounded]]=5,1,0)</f>
        <v>1</v>
      </c>
    </row>
    <row r="882" spans="2:17" x14ac:dyDescent="0.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c r="M882" s="7" t="str">
        <f>_xlfn.XLOOKUP(calls[[#This Row],[Customer ID]],customers[Customer ID],customers[City])</f>
        <v>Cleveland</v>
      </c>
      <c r="N882" s="3" t="str">
        <f>_xlfn.XLOOKUP(calls[[#This Row],[Customer ID]],customers[Customer ID],customers[Gedner])</f>
        <v>Female</v>
      </c>
      <c r="P882">
        <f>IF(calls[[#This Row],[Call number]]&lt;&gt;"",1,0)</f>
        <v>1</v>
      </c>
      <c r="Q882">
        <f>IF(calls[[#This Row],[Rating rounded]]=5,1,0)</f>
        <v>0</v>
      </c>
    </row>
    <row r="883" spans="2:17" x14ac:dyDescent="0.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c r="M883" s="7" t="str">
        <f>_xlfn.XLOOKUP(calls[[#This Row],[Customer ID]],customers[Customer ID],customers[City])</f>
        <v>Cleveland</v>
      </c>
      <c r="N883" s="3" t="str">
        <f>_xlfn.XLOOKUP(calls[[#This Row],[Customer ID]],customers[Customer ID],customers[Gedner])</f>
        <v>Female</v>
      </c>
      <c r="P883">
        <f>IF(calls[[#This Row],[Call number]]&lt;&gt;"",1,0)</f>
        <v>1</v>
      </c>
      <c r="Q883">
        <f>IF(calls[[#This Row],[Rating rounded]]=5,1,0)</f>
        <v>0</v>
      </c>
    </row>
    <row r="884" spans="2:17" x14ac:dyDescent="0.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c r="M884" s="7" t="str">
        <f>_xlfn.XLOOKUP(calls[[#This Row],[Customer ID]],customers[Customer ID],customers[City])</f>
        <v>Cleveland</v>
      </c>
      <c r="N884" s="3" t="str">
        <f>_xlfn.XLOOKUP(calls[[#This Row],[Customer ID]],customers[Customer ID],customers[Gedner])</f>
        <v>Female</v>
      </c>
      <c r="P884">
        <f>IF(calls[[#This Row],[Call number]]&lt;&gt;"",1,0)</f>
        <v>1</v>
      </c>
      <c r="Q884">
        <f>IF(calls[[#This Row],[Rating rounded]]=5,1,0)</f>
        <v>1</v>
      </c>
    </row>
    <row r="885" spans="2:17" x14ac:dyDescent="0.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c r="M885" s="7" t="str">
        <f>_xlfn.XLOOKUP(calls[[#This Row],[Customer ID]],customers[Customer ID],customers[City])</f>
        <v>Cleveland</v>
      </c>
      <c r="N885" s="3" t="str">
        <f>_xlfn.XLOOKUP(calls[[#This Row],[Customer ID]],customers[Customer ID],customers[Gedner])</f>
        <v>Female</v>
      </c>
      <c r="P885">
        <f>IF(calls[[#This Row],[Call number]]&lt;&gt;"",1,0)</f>
        <v>1</v>
      </c>
      <c r="Q885">
        <f>IF(calls[[#This Row],[Rating rounded]]=5,1,0)</f>
        <v>0</v>
      </c>
    </row>
    <row r="886" spans="2:17" x14ac:dyDescent="0.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c r="M886" s="7" t="str">
        <f>_xlfn.XLOOKUP(calls[[#This Row],[Customer ID]],customers[Customer ID],customers[City])</f>
        <v>Columbus</v>
      </c>
      <c r="N886" s="3" t="str">
        <f>_xlfn.XLOOKUP(calls[[#This Row],[Customer ID]],customers[Customer ID],customers[Gedner])</f>
        <v>Female</v>
      </c>
      <c r="P886">
        <f>IF(calls[[#This Row],[Call number]]&lt;&gt;"",1,0)</f>
        <v>1</v>
      </c>
      <c r="Q886">
        <f>IF(calls[[#This Row],[Rating rounded]]=5,1,0)</f>
        <v>0</v>
      </c>
    </row>
    <row r="887" spans="2:17" x14ac:dyDescent="0.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c r="M887" s="7" t="str">
        <f>_xlfn.XLOOKUP(calls[[#This Row],[Customer ID]],customers[Customer ID],customers[City])</f>
        <v>Cleveland</v>
      </c>
      <c r="N887" s="3" t="str">
        <f>_xlfn.XLOOKUP(calls[[#This Row],[Customer ID]],customers[Customer ID],customers[Gedner])</f>
        <v>Female</v>
      </c>
      <c r="P887">
        <f>IF(calls[[#This Row],[Call number]]&lt;&gt;"",1,0)</f>
        <v>1</v>
      </c>
      <c r="Q887">
        <f>IF(calls[[#This Row],[Rating rounded]]=5,1,0)</f>
        <v>0</v>
      </c>
    </row>
    <row r="888" spans="2:17" x14ac:dyDescent="0.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c r="M888" s="7" t="str">
        <f>_xlfn.XLOOKUP(calls[[#This Row],[Customer ID]],customers[Customer ID],customers[City])</f>
        <v>Columbus</v>
      </c>
      <c r="N888" s="3" t="str">
        <f>_xlfn.XLOOKUP(calls[[#This Row],[Customer ID]],customers[Customer ID],customers[Gedner])</f>
        <v>Male</v>
      </c>
      <c r="P888">
        <f>IF(calls[[#This Row],[Call number]]&lt;&gt;"",1,0)</f>
        <v>1</v>
      </c>
      <c r="Q888">
        <f>IF(calls[[#This Row],[Rating rounded]]=5,1,0)</f>
        <v>0</v>
      </c>
    </row>
    <row r="889" spans="2:17" x14ac:dyDescent="0.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c r="M889" s="7" t="str">
        <f>_xlfn.XLOOKUP(calls[[#This Row],[Customer ID]],customers[Customer ID],customers[City])</f>
        <v>Cleveland</v>
      </c>
      <c r="N889" s="3" t="str">
        <f>_xlfn.XLOOKUP(calls[[#This Row],[Customer ID]],customers[Customer ID],customers[Gedner])</f>
        <v>Female</v>
      </c>
      <c r="P889">
        <f>IF(calls[[#This Row],[Call number]]&lt;&gt;"",1,0)</f>
        <v>1</v>
      </c>
      <c r="Q889">
        <f>IF(calls[[#This Row],[Rating rounded]]=5,1,0)</f>
        <v>0</v>
      </c>
    </row>
    <row r="890" spans="2:17" x14ac:dyDescent="0.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c r="M890" s="7" t="str">
        <f>_xlfn.XLOOKUP(calls[[#This Row],[Customer ID]],customers[Customer ID],customers[City])</f>
        <v>Cincinnati</v>
      </c>
      <c r="N890" s="3" t="str">
        <f>_xlfn.XLOOKUP(calls[[#This Row],[Customer ID]],customers[Customer ID],customers[Gedner])</f>
        <v>Male</v>
      </c>
      <c r="P890">
        <f>IF(calls[[#This Row],[Call number]]&lt;&gt;"",1,0)</f>
        <v>1</v>
      </c>
      <c r="Q890">
        <f>IF(calls[[#This Row],[Rating rounded]]=5,1,0)</f>
        <v>0</v>
      </c>
    </row>
    <row r="891" spans="2:17" x14ac:dyDescent="0.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c r="M891" s="7" t="str">
        <f>_xlfn.XLOOKUP(calls[[#This Row],[Customer ID]],customers[Customer ID],customers[City])</f>
        <v>Columbus</v>
      </c>
      <c r="N891" s="3" t="str">
        <f>_xlfn.XLOOKUP(calls[[#This Row],[Customer ID]],customers[Customer ID],customers[Gedner])</f>
        <v>Male</v>
      </c>
      <c r="P891">
        <f>IF(calls[[#This Row],[Call number]]&lt;&gt;"",1,0)</f>
        <v>1</v>
      </c>
      <c r="Q891">
        <f>IF(calls[[#This Row],[Rating rounded]]=5,1,0)</f>
        <v>0</v>
      </c>
    </row>
    <row r="892" spans="2:17" x14ac:dyDescent="0.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c r="M892" s="7" t="str">
        <f>_xlfn.XLOOKUP(calls[[#This Row],[Customer ID]],customers[Customer ID],customers[City])</f>
        <v>Columbus</v>
      </c>
      <c r="N892" s="3" t="str">
        <f>_xlfn.XLOOKUP(calls[[#This Row],[Customer ID]],customers[Customer ID],customers[Gedner])</f>
        <v>Female</v>
      </c>
      <c r="P892">
        <f>IF(calls[[#This Row],[Call number]]&lt;&gt;"",1,0)</f>
        <v>1</v>
      </c>
      <c r="Q892">
        <f>IF(calls[[#This Row],[Rating rounded]]=5,1,0)</f>
        <v>0</v>
      </c>
    </row>
    <row r="893" spans="2:17" x14ac:dyDescent="0.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c r="M893" s="7" t="str">
        <f>_xlfn.XLOOKUP(calls[[#This Row],[Customer ID]],customers[Customer ID],customers[City])</f>
        <v>Cincinnati</v>
      </c>
      <c r="N893" s="3" t="str">
        <f>_xlfn.XLOOKUP(calls[[#This Row],[Customer ID]],customers[Customer ID],customers[Gedner])</f>
        <v>Male</v>
      </c>
      <c r="P893">
        <f>IF(calls[[#This Row],[Call number]]&lt;&gt;"",1,0)</f>
        <v>1</v>
      </c>
      <c r="Q893">
        <f>IF(calls[[#This Row],[Rating rounded]]=5,1,0)</f>
        <v>0</v>
      </c>
    </row>
    <row r="894" spans="2:17" x14ac:dyDescent="0.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c r="M894" s="7" t="str">
        <f>_xlfn.XLOOKUP(calls[[#This Row],[Customer ID]],customers[Customer ID],customers[City])</f>
        <v>Columbus</v>
      </c>
      <c r="N894" s="3" t="str">
        <f>_xlfn.XLOOKUP(calls[[#This Row],[Customer ID]],customers[Customer ID],customers[Gedner])</f>
        <v>Male</v>
      </c>
      <c r="P894">
        <f>IF(calls[[#This Row],[Call number]]&lt;&gt;"",1,0)</f>
        <v>1</v>
      </c>
      <c r="Q894">
        <f>IF(calls[[#This Row],[Rating rounded]]=5,1,0)</f>
        <v>1</v>
      </c>
    </row>
    <row r="895" spans="2:17" x14ac:dyDescent="0.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c r="M895" s="7" t="str">
        <f>_xlfn.XLOOKUP(calls[[#This Row],[Customer ID]],customers[Customer ID],customers[City])</f>
        <v>Cleveland</v>
      </c>
      <c r="N895" s="3" t="str">
        <f>_xlfn.XLOOKUP(calls[[#This Row],[Customer ID]],customers[Customer ID],customers[Gedner])</f>
        <v>Female</v>
      </c>
      <c r="P895">
        <f>IF(calls[[#This Row],[Call number]]&lt;&gt;"",1,0)</f>
        <v>1</v>
      </c>
      <c r="Q895">
        <f>IF(calls[[#This Row],[Rating rounded]]=5,1,0)</f>
        <v>0</v>
      </c>
    </row>
    <row r="896" spans="2:17" x14ac:dyDescent="0.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c r="M896" s="7" t="str">
        <f>_xlfn.XLOOKUP(calls[[#This Row],[Customer ID]],customers[Customer ID],customers[City])</f>
        <v>Columbus</v>
      </c>
      <c r="N896" s="3" t="str">
        <f>_xlfn.XLOOKUP(calls[[#This Row],[Customer ID]],customers[Customer ID],customers[Gedner])</f>
        <v>Female</v>
      </c>
      <c r="P896">
        <f>IF(calls[[#This Row],[Call number]]&lt;&gt;"",1,0)</f>
        <v>1</v>
      </c>
      <c r="Q896">
        <f>IF(calls[[#This Row],[Rating rounded]]=5,1,0)</f>
        <v>0</v>
      </c>
    </row>
    <row r="897" spans="2:17" x14ac:dyDescent="0.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c r="M897" s="7" t="str">
        <f>_xlfn.XLOOKUP(calls[[#This Row],[Customer ID]],customers[Customer ID],customers[City])</f>
        <v>Columbus</v>
      </c>
      <c r="N897" s="3" t="str">
        <f>_xlfn.XLOOKUP(calls[[#This Row],[Customer ID]],customers[Customer ID],customers[Gedner])</f>
        <v>Male</v>
      </c>
      <c r="P897">
        <f>IF(calls[[#This Row],[Call number]]&lt;&gt;"",1,0)</f>
        <v>1</v>
      </c>
      <c r="Q897">
        <f>IF(calls[[#This Row],[Rating rounded]]=5,1,0)</f>
        <v>0</v>
      </c>
    </row>
    <row r="898" spans="2:17" x14ac:dyDescent="0.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c r="M898" s="7" t="str">
        <f>_xlfn.XLOOKUP(calls[[#This Row],[Customer ID]],customers[Customer ID],customers[City])</f>
        <v>Cincinnati</v>
      </c>
      <c r="N898" s="3" t="str">
        <f>_xlfn.XLOOKUP(calls[[#This Row],[Customer ID]],customers[Customer ID],customers[Gedner])</f>
        <v>Female</v>
      </c>
      <c r="P898">
        <f>IF(calls[[#This Row],[Call number]]&lt;&gt;"",1,0)</f>
        <v>1</v>
      </c>
      <c r="Q898">
        <f>IF(calls[[#This Row],[Rating rounded]]=5,1,0)</f>
        <v>0</v>
      </c>
    </row>
    <row r="899" spans="2:17" x14ac:dyDescent="0.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c r="M899" s="7" t="str">
        <f>_xlfn.XLOOKUP(calls[[#This Row],[Customer ID]],customers[Customer ID],customers[City])</f>
        <v>Columbus</v>
      </c>
      <c r="N899" s="3" t="str">
        <f>_xlfn.XLOOKUP(calls[[#This Row],[Customer ID]],customers[Customer ID],customers[Gedner])</f>
        <v>Male</v>
      </c>
      <c r="P899">
        <f>IF(calls[[#This Row],[Call number]]&lt;&gt;"",1,0)</f>
        <v>1</v>
      </c>
      <c r="Q899">
        <f>IF(calls[[#This Row],[Rating rounded]]=5,1,0)</f>
        <v>1</v>
      </c>
    </row>
    <row r="900" spans="2:17" x14ac:dyDescent="0.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c r="M900" s="7" t="str">
        <f>_xlfn.XLOOKUP(calls[[#This Row],[Customer ID]],customers[Customer ID],customers[City])</f>
        <v>Cleveland</v>
      </c>
      <c r="N900" s="3" t="str">
        <f>_xlfn.XLOOKUP(calls[[#This Row],[Customer ID]],customers[Customer ID],customers[Gedner])</f>
        <v>Female</v>
      </c>
      <c r="P900">
        <f>IF(calls[[#This Row],[Call number]]&lt;&gt;"",1,0)</f>
        <v>1</v>
      </c>
      <c r="Q900">
        <f>IF(calls[[#This Row],[Rating rounded]]=5,1,0)</f>
        <v>1</v>
      </c>
    </row>
    <row r="901" spans="2:17" x14ac:dyDescent="0.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c r="M901" s="7" t="str">
        <f>_xlfn.XLOOKUP(calls[[#This Row],[Customer ID]],customers[Customer ID],customers[City])</f>
        <v>Columbus</v>
      </c>
      <c r="N901" s="3" t="str">
        <f>_xlfn.XLOOKUP(calls[[#This Row],[Customer ID]],customers[Customer ID],customers[Gedner])</f>
        <v>Female</v>
      </c>
      <c r="P901">
        <f>IF(calls[[#This Row],[Call number]]&lt;&gt;"",1,0)</f>
        <v>1</v>
      </c>
      <c r="Q901">
        <f>IF(calls[[#This Row],[Rating rounded]]=5,1,0)</f>
        <v>0</v>
      </c>
    </row>
    <row r="902" spans="2:17" x14ac:dyDescent="0.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c r="M902" s="7" t="str">
        <f>_xlfn.XLOOKUP(calls[[#This Row],[Customer ID]],customers[Customer ID],customers[City])</f>
        <v>Columbus</v>
      </c>
      <c r="N902" s="3" t="str">
        <f>_xlfn.XLOOKUP(calls[[#This Row],[Customer ID]],customers[Customer ID],customers[Gedner])</f>
        <v>Male</v>
      </c>
      <c r="P902">
        <f>IF(calls[[#This Row],[Call number]]&lt;&gt;"",1,0)</f>
        <v>1</v>
      </c>
      <c r="Q902">
        <f>IF(calls[[#This Row],[Rating rounded]]=5,1,0)</f>
        <v>0</v>
      </c>
    </row>
    <row r="903" spans="2:17" x14ac:dyDescent="0.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c r="M903" s="7" t="str">
        <f>_xlfn.XLOOKUP(calls[[#This Row],[Customer ID]],customers[Customer ID],customers[City])</f>
        <v>Cleveland</v>
      </c>
      <c r="N903" s="3" t="str">
        <f>_xlfn.XLOOKUP(calls[[#This Row],[Customer ID]],customers[Customer ID],customers[Gedner])</f>
        <v>Female</v>
      </c>
      <c r="P903">
        <f>IF(calls[[#This Row],[Call number]]&lt;&gt;"",1,0)</f>
        <v>1</v>
      </c>
      <c r="Q903">
        <f>IF(calls[[#This Row],[Rating rounded]]=5,1,0)</f>
        <v>0</v>
      </c>
    </row>
    <row r="904" spans="2:17" x14ac:dyDescent="0.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c r="M904" s="7" t="str">
        <f>_xlfn.XLOOKUP(calls[[#This Row],[Customer ID]],customers[Customer ID],customers[City])</f>
        <v>Cleveland</v>
      </c>
      <c r="N904" s="3" t="str">
        <f>_xlfn.XLOOKUP(calls[[#This Row],[Customer ID]],customers[Customer ID],customers[Gedner])</f>
        <v>Female</v>
      </c>
      <c r="P904">
        <f>IF(calls[[#This Row],[Call number]]&lt;&gt;"",1,0)</f>
        <v>1</v>
      </c>
      <c r="Q904">
        <f>IF(calls[[#This Row],[Rating rounded]]=5,1,0)</f>
        <v>0</v>
      </c>
    </row>
    <row r="905" spans="2:17" x14ac:dyDescent="0.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c r="M905" s="7" t="str">
        <f>_xlfn.XLOOKUP(calls[[#This Row],[Customer ID]],customers[Customer ID],customers[City])</f>
        <v>Columbus</v>
      </c>
      <c r="N905" s="3" t="str">
        <f>_xlfn.XLOOKUP(calls[[#This Row],[Customer ID]],customers[Customer ID],customers[Gedner])</f>
        <v>Male</v>
      </c>
      <c r="P905">
        <f>IF(calls[[#This Row],[Call number]]&lt;&gt;"",1,0)</f>
        <v>1</v>
      </c>
      <c r="Q905">
        <f>IF(calls[[#This Row],[Rating rounded]]=5,1,0)</f>
        <v>0</v>
      </c>
    </row>
    <row r="906" spans="2:17" x14ac:dyDescent="0.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c r="M906" s="7" t="str">
        <f>_xlfn.XLOOKUP(calls[[#This Row],[Customer ID]],customers[Customer ID],customers[City])</f>
        <v>Cleveland</v>
      </c>
      <c r="N906" s="3" t="str">
        <f>_xlfn.XLOOKUP(calls[[#This Row],[Customer ID]],customers[Customer ID],customers[Gedner])</f>
        <v>Female</v>
      </c>
      <c r="P906">
        <f>IF(calls[[#This Row],[Call number]]&lt;&gt;"",1,0)</f>
        <v>1</v>
      </c>
      <c r="Q906">
        <f>IF(calls[[#This Row],[Rating rounded]]=5,1,0)</f>
        <v>1</v>
      </c>
    </row>
    <row r="907" spans="2:17" x14ac:dyDescent="0.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c r="M907" s="7" t="str">
        <f>_xlfn.XLOOKUP(calls[[#This Row],[Customer ID]],customers[Customer ID],customers[City])</f>
        <v>Cincinnati</v>
      </c>
      <c r="N907" s="3" t="str">
        <f>_xlfn.XLOOKUP(calls[[#This Row],[Customer ID]],customers[Customer ID],customers[Gedner])</f>
        <v>Male</v>
      </c>
      <c r="P907">
        <f>IF(calls[[#This Row],[Call number]]&lt;&gt;"",1,0)</f>
        <v>1</v>
      </c>
      <c r="Q907">
        <f>IF(calls[[#This Row],[Rating rounded]]=5,1,0)</f>
        <v>0</v>
      </c>
    </row>
    <row r="908" spans="2:17" x14ac:dyDescent="0.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c r="M908" s="7" t="str">
        <f>_xlfn.XLOOKUP(calls[[#This Row],[Customer ID]],customers[Customer ID],customers[City])</f>
        <v>Cincinnati</v>
      </c>
      <c r="N908" s="3" t="str">
        <f>_xlfn.XLOOKUP(calls[[#This Row],[Customer ID]],customers[Customer ID],customers[Gedner])</f>
        <v>Female</v>
      </c>
      <c r="P908">
        <f>IF(calls[[#This Row],[Call number]]&lt;&gt;"",1,0)</f>
        <v>1</v>
      </c>
      <c r="Q908">
        <f>IF(calls[[#This Row],[Rating rounded]]=5,1,0)</f>
        <v>0</v>
      </c>
    </row>
    <row r="909" spans="2:17" x14ac:dyDescent="0.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c r="M909" s="7" t="str">
        <f>_xlfn.XLOOKUP(calls[[#This Row],[Customer ID]],customers[Customer ID],customers[City])</f>
        <v>Columbus</v>
      </c>
      <c r="N909" s="3" t="str">
        <f>_xlfn.XLOOKUP(calls[[#This Row],[Customer ID]],customers[Customer ID],customers[Gedner])</f>
        <v>Female</v>
      </c>
      <c r="P909">
        <f>IF(calls[[#This Row],[Call number]]&lt;&gt;"",1,0)</f>
        <v>1</v>
      </c>
      <c r="Q909">
        <f>IF(calls[[#This Row],[Rating rounded]]=5,1,0)</f>
        <v>0</v>
      </c>
    </row>
    <row r="910" spans="2:17" x14ac:dyDescent="0.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c r="M910" s="7" t="str">
        <f>_xlfn.XLOOKUP(calls[[#This Row],[Customer ID]],customers[Customer ID],customers[City])</f>
        <v>Cleveland</v>
      </c>
      <c r="N910" s="3" t="str">
        <f>_xlfn.XLOOKUP(calls[[#This Row],[Customer ID]],customers[Customer ID],customers[Gedner])</f>
        <v>Female</v>
      </c>
      <c r="P910">
        <f>IF(calls[[#This Row],[Call number]]&lt;&gt;"",1,0)</f>
        <v>1</v>
      </c>
      <c r="Q910">
        <f>IF(calls[[#This Row],[Rating rounded]]=5,1,0)</f>
        <v>1</v>
      </c>
    </row>
    <row r="911" spans="2:17" x14ac:dyDescent="0.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c r="M911" s="7" t="str">
        <f>_xlfn.XLOOKUP(calls[[#This Row],[Customer ID]],customers[Customer ID],customers[City])</f>
        <v>Cincinnati</v>
      </c>
      <c r="N911" s="3" t="str">
        <f>_xlfn.XLOOKUP(calls[[#This Row],[Customer ID]],customers[Customer ID],customers[Gedner])</f>
        <v>Male</v>
      </c>
      <c r="P911">
        <f>IF(calls[[#This Row],[Call number]]&lt;&gt;"",1,0)</f>
        <v>1</v>
      </c>
      <c r="Q911">
        <f>IF(calls[[#This Row],[Rating rounded]]=5,1,0)</f>
        <v>0</v>
      </c>
    </row>
    <row r="912" spans="2:17" x14ac:dyDescent="0.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c r="M912" s="7" t="str">
        <f>_xlfn.XLOOKUP(calls[[#This Row],[Customer ID]],customers[Customer ID],customers[City])</f>
        <v>Cleveland</v>
      </c>
      <c r="N912" s="3" t="str">
        <f>_xlfn.XLOOKUP(calls[[#This Row],[Customer ID]],customers[Customer ID],customers[Gedner])</f>
        <v>Female</v>
      </c>
      <c r="P912">
        <f>IF(calls[[#This Row],[Call number]]&lt;&gt;"",1,0)</f>
        <v>1</v>
      </c>
      <c r="Q912">
        <f>IF(calls[[#This Row],[Rating rounded]]=5,1,0)</f>
        <v>1</v>
      </c>
    </row>
    <row r="913" spans="2:17" x14ac:dyDescent="0.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c r="M913" s="7" t="str">
        <f>_xlfn.XLOOKUP(calls[[#This Row],[Customer ID]],customers[Customer ID],customers[City])</f>
        <v>Cleveland</v>
      </c>
      <c r="N913" s="3" t="str">
        <f>_xlfn.XLOOKUP(calls[[#This Row],[Customer ID]],customers[Customer ID],customers[Gedner])</f>
        <v>Male</v>
      </c>
      <c r="P913">
        <f>IF(calls[[#This Row],[Call number]]&lt;&gt;"",1,0)</f>
        <v>1</v>
      </c>
      <c r="Q913">
        <f>IF(calls[[#This Row],[Rating rounded]]=5,1,0)</f>
        <v>1</v>
      </c>
    </row>
    <row r="914" spans="2:17" x14ac:dyDescent="0.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c r="M914" s="7" t="str">
        <f>_xlfn.XLOOKUP(calls[[#This Row],[Customer ID]],customers[Customer ID],customers[City])</f>
        <v>Cleveland</v>
      </c>
      <c r="N914" s="3" t="str">
        <f>_xlfn.XLOOKUP(calls[[#This Row],[Customer ID]],customers[Customer ID],customers[Gedner])</f>
        <v>Female</v>
      </c>
      <c r="P914">
        <f>IF(calls[[#This Row],[Call number]]&lt;&gt;"",1,0)</f>
        <v>1</v>
      </c>
      <c r="Q914">
        <f>IF(calls[[#This Row],[Rating rounded]]=5,1,0)</f>
        <v>1</v>
      </c>
    </row>
    <row r="915" spans="2:17" x14ac:dyDescent="0.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c r="M915" s="7" t="str">
        <f>_xlfn.XLOOKUP(calls[[#This Row],[Customer ID]],customers[Customer ID],customers[City])</f>
        <v>Cleveland</v>
      </c>
      <c r="N915" s="3" t="str">
        <f>_xlfn.XLOOKUP(calls[[#This Row],[Customer ID]],customers[Customer ID],customers[Gedner])</f>
        <v>Female</v>
      </c>
      <c r="P915">
        <f>IF(calls[[#This Row],[Call number]]&lt;&gt;"",1,0)</f>
        <v>1</v>
      </c>
      <c r="Q915">
        <f>IF(calls[[#This Row],[Rating rounded]]=5,1,0)</f>
        <v>0</v>
      </c>
    </row>
    <row r="916" spans="2:17" x14ac:dyDescent="0.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c r="M916" s="7" t="str">
        <f>_xlfn.XLOOKUP(calls[[#This Row],[Customer ID]],customers[Customer ID],customers[City])</f>
        <v>Columbus</v>
      </c>
      <c r="N916" s="3" t="str">
        <f>_xlfn.XLOOKUP(calls[[#This Row],[Customer ID]],customers[Customer ID],customers[Gedner])</f>
        <v>Male</v>
      </c>
      <c r="P916">
        <f>IF(calls[[#This Row],[Call number]]&lt;&gt;"",1,0)</f>
        <v>1</v>
      </c>
      <c r="Q916">
        <f>IF(calls[[#This Row],[Rating rounded]]=5,1,0)</f>
        <v>0</v>
      </c>
    </row>
    <row r="917" spans="2:17" x14ac:dyDescent="0.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c r="M917" s="7" t="str">
        <f>_xlfn.XLOOKUP(calls[[#This Row],[Customer ID]],customers[Customer ID],customers[City])</f>
        <v>Columbus</v>
      </c>
      <c r="N917" s="3" t="str">
        <f>_xlfn.XLOOKUP(calls[[#This Row],[Customer ID]],customers[Customer ID],customers[Gedner])</f>
        <v>Female</v>
      </c>
      <c r="P917">
        <f>IF(calls[[#This Row],[Call number]]&lt;&gt;"",1,0)</f>
        <v>1</v>
      </c>
      <c r="Q917">
        <f>IF(calls[[#This Row],[Rating rounded]]=5,1,0)</f>
        <v>0</v>
      </c>
    </row>
    <row r="918" spans="2:17" x14ac:dyDescent="0.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c r="M918" s="7" t="str">
        <f>_xlfn.XLOOKUP(calls[[#This Row],[Customer ID]],customers[Customer ID],customers[City])</f>
        <v>Cleveland</v>
      </c>
      <c r="N918" s="3" t="str">
        <f>_xlfn.XLOOKUP(calls[[#This Row],[Customer ID]],customers[Customer ID],customers[Gedner])</f>
        <v>Male</v>
      </c>
      <c r="P918">
        <f>IF(calls[[#This Row],[Call number]]&lt;&gt;"",1,0)</f>
        <v>1</v>
      </c>
      <c r="Q918">
        <f>IF(calls[[#This Row],[Rating rounded]]=5,1,0)</f>
        <v>0</v>
      </c>
    </row>
    <row r="919" spans="2:17" x14ac:dyDescent="0.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c r="M919" s="7" t="str">
        <f>_xlfn.XLOOKUP(calls[[#This Row],[Customer ID]],customers[Customer ID],customers[City])</f>
        <v>Cleveland</v>
      </c>
      <c r="N919" s="3" t="str">
        <f>_xlfn.XLOOKUP(calls[[#This Row],[Customer ID]],customers[Customer ID],customers[Gedner])</f>
        <v>Female</v>
      </c>
      <c r="P919">
        <f>IF(calls[[#This Row],[Call number]]&lt;&gt;"",1,0)</f>
        <v>1</v>
      </c>
      <c r="Q919">
        <f>IF(calls[[#This Row],[Rating rounded]]=5,1,0)</f>
        <v>0</v>
      </c>
    </row>
    <row r="920" spans="2:17" x14ac:dyDescent="0.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c r="M920" s="7" t="str">
        <f>_xlfn.XLOOKUP(calls[[#This Row],[Customer ID]],customers[Customer ID],customers[City])</f>
        <v>Columbus</v>
      </c>
      <c r="N920" s="3" t="str">
        <f>_xlfn.XLOOKUP(calls[[#This Row],[Customer ID]],customers[Customer ID],customers[Gedner])</f>
        <v>Male</v>
      </c>
      <c r="P920">
        <f>IF(calls[[#This Row],[Call number]]&lt;&gt;"",1,0)</f>
        <v>1</v>
      </c>
      <c r="Q920">
        <f>IF(calls[[#This Row],[Rating rounded]]=5,1,0)</f>
        <v>0</v>
      </c>
    </row>
    <row r="921" spans="2:17" x14ac:dyDescent="0.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c r="M921" s="7" t="str">
        <f>_xlfn.XLOOKUP(calls[[#This Row],[Customer ID]],customers[Customer ID],customers[City])</f>
        <v>Cleveland</v>
      </c>
      <c r="N921" s="3" t="str">
        <f>_xlfn.XLOOKUP(calls[[#This Row],[Customer ID]],customers[Customer ID],customers[Gedner])</f>
        <v>Female</v>
      </c>
      <c r="P921">
        <f>IF(calls[[#This Row],[Call number]]&lt;&gt;"",1,0)</f>
        <v>1</v>
      </c>
      <c r="Q921">
        <f>IF(calls[[#This Row],[Rating rounded]]=5,1,0)</f>
        <v>0</v>
      </c>
    </row>
    <row r="922" spans="2:17" x14ac:dyDescent="0.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c r="M922" s="7" t="str">
        <f>_xlfn.XLOOKUP(calls[[#This Row],[Customer ID]],customers[Customer ID],customers[City])</f>
        <v>Cincinnati</v>
      </c>
      <c r="N922" s="3" t="str">
        <f>_xlfn.XLOOKUP(calls[[#This Row],[Customer ID]],customers[Customer ID],customers[Gedner])</f>
        <v>Female</v>
      </c>
      <c r="P922">
        <f>IF(calls[[#This Row],[Call number]]&lt;&gt;"",1,0)</f>
        <v>1</v>
      </c>
      <c r="Q922">
        <f>IF(calls[[#This Row],[Rating rounded]]=5,1,0)</f>
        <v>0</v>
      </c>
    </row>
    <row r="923" spans="2:17" x14ac:dyDescent="0.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c r="M923" s="7" t="str">
        <f>_xlfn.XLOOKUP(calls[[#This Row],[Customer ID]],customers[Customer ID],customers[City])</f>
        <v>Cincinnati</v>
      </c>
      <c r="N923" s="3" t="str">
        <f>_xlfn.XLOOKUP(calls[[#This Row],[Customer ID]],customers[Customer ID],customers[Gedner])</f>
        <v>Male</v>
      </c>
      <c r="P923">
        <f>IF(calls[[#This Row],[Call number]]&lt;&gt;"",1,0)</f>
        <v>1</v>
      </c>
      <c r="Q923">
        <f>IF(calls[[#This Row],[Rating rounded]]=5,1,0)</f>
        <v>1</v>
      </c>
    </row>
    <row r="924" spans="2:17" x14ac:dyDescent="0.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c r="M924" s="7" t="str">
        <f>_xlfn.XLOOKUP(calls[[#This Row],[Customer ID]],customers[Customer ID],customers[City])</f>
        <v>Columbus</v>
      </c>
      <c r="N924" s="3" t="str">
        <f>_xlfn.XLOOKUP(calls[[#This Row],[Customer ID]],customers[Customer ID],customers[Gedner])</f>
        <v>Male</v>
      </c>
      <c r="P924">
        <f>IF(calls[[#This Row],[Call number]]&lt;&gt;"",1,0)</f>
        <v>1</v>
      </c>
      <c r="Q924">
        <f>IF(calls[[#This Row],[Rating rounded]]=5,1,0)</f>
        <v>0</v>
      </c>
    </row>
    <row r="925" spans="2:17" x14ac:dyDescent="0.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c r="M925" s="7" t="str">
        <f>_xlfn.XLOOKUP(calls[[#This Row],[Customer ID]],customers[Customer ID],customers[City])</f>
        <v>Cincinnati</v>
      </c>
      <c r="N925" s="3" t="str">
        <f>_xlfn.XLOOKUP(calls[[#This Row],[Customer ID]],customers[Customer ID],customers[Gedner])</f>
        <v>Female</v>
      </c>
      <c r="P925">
        <f>IF(calls[[#This Row],[Call number]]&lt;&gt;"",1,0)</f>
        <v>1</v>
      </c>
      <c r="Q925">
        <f>IF(calls[[#This Row],[Rating rounded]]=5,1,0)</f>
        <v>1</v>
      </c>
    </row>
    <row r="926" spans="2:17" x14ac:dyDescent="0.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c r="M926" s="7" t="str">
        <f>_xlfn.XLOOKUP(calls[[#This Row],[Customer ID]],customers[Customer ID],customers[City])</f>
        <v>Cleveland</v>
      </c>
      <c r="N926" s="3" t="str">
        <f>_xlfn.XLOOKUP(calls[[#This Row],[Customer ID]],customers[Customer ID],customers[Gedner])</f>
        <v>Female</v>
      </c>
      <c r="P926">
        <f>IF(calls[[#This Row],[Call number]]&lt;&gt;"",1,0)</f>
        <v>1</v>
      </c>
      <c r="Q926">
        <f>IF(calls[[#This Row],[Rating rounded]]=5,1,0)</f>
        <v>0</v>
      </c>
    </row>
    <row r="927" spans="2:17" x14ac:dyDescent="0.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c r="M927" s="7" t="str">
        <f>_xlfn.XLOOKUP(calls[[#This Row],[Customer ID]],customers[Customer ID],customers[City])</f>
        <v>Cincinnati</v>
      </c>
      <c r="N927" s="3" t="str">
        <f>_xlfn.XLOOKUP(calls[[#This Row],[Customer ID]],customers[Customer ID],customers[Gedner])</f>
        <v>Female</v>
      </c>
      <c r="P927">
        <f>IF(calls[[#This Row],[Call number]]&lt;&gt;"",1,0)</f>
        <v>1</v>
      </c>
      <c r="Q927">
        <f>IF(calls[[#This Row],[Rating rounded]]=5,1,0)</f>
        <v>0</v>
      </c>
    </row>
    <row r="928" spans="2:17" x14ac:dyDescent="0.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c r="M928" s="7" t="str">
        <f>_xlfn.XLOOKUP(calls[[#This Row],[Customer ID]],customers[Customer ID],customers[City])</f>
        <v>Cleveland</v>
      </c>
      <c r="N928" s="3" t="str">
        <f>_xlfn.XLOOKUP(calls[[#This Row],[Customer ID]],customers[Customer ID],customers[Gedner])</f>
        <v>Female</v>
      </c>
      <c r="P928">
        <f>IF(calls[[#This Row],[Call number]]&lt;&gt;"",1,0)</f>
        <v>1</v>
      </c>
      <c r="Q928">
        <f>IF(calls[[#This Row],[Rating rounded]]=5,1,0)</f>
        <v>0</v>
      </c>
    </row>
    <row r="929" spans="2:17" x14ac:dyDescent="0.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c r="M929" s="7" t="str">
        <f>_xlfn.XLOOKUP(calls[[#This Row],[Customer ID]],customers[Customer ID],customers[City])</f>
        <v>Cincinnati</v>
      </c>
      <c r="N929" s="3" t="str">
        <f>_xlfn.XLOOKUP(calls[[#This Row],[Customer ID]],customers[Customer ID],customers[Gedner])</f>
        <v>Female</v>
      </c>
      <c r="P929">
        <f>IF(calls[[#This Row],[Call number]]&lt;&gt;"",1,0)</f>
        <v>1</v>
      </c>
      <c r="Q929">
        <f>IF(calls[[#This Row],[Rating rounded]]=5,1,0)</f>
        <v>0</v>
      </c>
    </row>
    <row r="930" spans="2:17" x14ac:dyDescent="0.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c r="M930" s="7" t="str">
        <f>_xlfn.XLOOKUP(calls[[#This Row],[Customer ID]],customers[Customer ID],customers[City])</f>
        <v>Columbus</v>
      </c>
      <c r="N930" s="3" t="str">
        <f>_xlfn.XLOOKUP(calls[[#This Row],[Customer ID]],customers[Customer ID],customers[Gedner])</f>
        <v>Female</v>
      </c>
      <c r="P930">
        <f>IF(calls[[#This Row],[Call number]]&lt;&gt;"",1,0)</f>
        <v>1</v>
      </c>
      <c r="Q930">
        <f>IF(calls[[#This Row],[Rating rounded]]=5,1,0)</f>
        <v>0</v>
      </c>
    </row>
    <row r="931" spans="2:17" x14ac:dyDescent="0.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c r="M931" s="7" t="str">
        <f>_xlfn.XLOOKUP(calls[[#This Row],[Customer ID]],customers[Customer ID],customers[City])</f>
        <v>Cleveland</v>
      </c>
      <c r="N931" s="3" t="str">
        <f>_xlfn.XLOOKUP(calls[[#This Row],[Customer ID]],customers[Customer ID],customers[Gedner])</f>
        <v>Male</v>
      </c>
      <c r="P931">
        <f>IF(calls[[#This Row],[Call number]]&lt;&gt;"",1,0)</f>
        <v>1</v>
      </c>
      <c r="Q931">
        <f>IF(calls[[#This Row],[Rating rounded]]=5,1,0)</f>
        <v>0</v>
      </c>
    </row>
    <row r="932" spans="2:17" x14ac:dyDescent="0.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c r="M932" s="7" t="str">
        <f>_xlfn.XLOOKUP(calls[[#This Row],[Customer ID]],customers[Customer ID],customers[City])</f>
        <v>Cincinnati</v>
      </c>
      <c r="N932" s="3" t="str">
        <f>_xlfn.XLOOKUP(calls[[#This Row],[Customer ID]],customers[Customer ID],customers[Gedner])</f>
        <v>Female</v>
      </c>
      <c r="P932">
        <f>IF(calls[[#This Row],[Call number]]&lt;&gt;"",1,0)</f>
        <v>1</v>
      </c>
      <c r="Q932">
        <f>IF(calls[[#This Row],[Rating rounded]]=5,1,0)</f>
        <v>0</v>
      </c>
    </row>
    <row r="933" spans="2:17" x14ac:dyDescent="0.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c r="M933" s="7" t="str">
        <f>_xlfn.XLOOKUP(calls[[#This Row],[Customer ID]],customers[Customer ID],customers[City])</f>
        <v>Columbus</v>
      </c>
      <c r="N933" s="3" t="str">
        <f>_xlfn.XLOOKUP(calls[[#This Row],[Customer ID]],customers[Customer ID],customers[Gedner])</f>
        <v>Male</v>
      </c>
      <c r="P933">
        <f>IF(calls[[#This Row],[Call number]]&lt;&gt;"",1,0)</f>
        <v>1</v>
      </c>
      <c r="Q933">
        <f>IF(calls[[#This Row],[Rating rounded]]=5,1,0)</f>
        <v>0</v>
      </c>
    </row>
    <row r="934" spans="2:17" x14ac:dyDescent="0.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c r="M934" s="7" t="str">
        <f>_xlfn.XLOOKUP(calls[[#This Row],[Customer ID]],customers[Customer ID],customers[City])</f>
        <v>Columbus</v>
      </c>
      <c r="N934" s="3" t="str">
        <f>_xlfn.XLOOKUP(calls[[#This Row],[Customer ID]],customers[Customer ID],customers[Gedner])</f>
        <v>Male</v>
      </c>
      <c r="P934">
        <f>IF(calls[[#This Row],[Call number]]&lt;&gt;"",1,0)</f>
        <v>1</v>
      </c>
      <c r="Q934">
        <f>IF(calls[[#This Row],[Rating rounded]]=5,1,0)</f>
        <v>0</v>
      </c>
    </row>
    <row r="935" spans="2:17" x14ac:dyDescent="0.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c r="M935" s="7" t="str">
        <f>_xlfn.XLOOKUP(calls[[#This Row],[Customer ID]],customers[Customer ID],customers[City])</f>
        <v>Cincinnati</v>
      </c>
      <c r="N935" s="3" t="str">
        <f>_xlfn.XLOOKUP(calls[[#This Row],[Customer ID]],customers[Customer ID],customers[Gedner])</f>
        <v>Female</v>
      </c>
      <c r="P935">
        <f>IF(calls[[#This Row],[Call number]]&lt;&gt;"",1,0)</f>
        <v>1</v>
      </c>
      <c r="Q935">
        <f>IF(calls[[#This Row],[Rating rounded]]=5,1,0)</f>
        <v>0</v>
      </c>
    </row>
    <row r="936" spans="2:17" x14ac:dyDescent="0.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c r="M936" s="7" t="str">
        <f>_xlfn.XLOOKUP(calls[[#This Row],[Customer ID]],customers[Customer ID],customers[City])</f>
        <v>Columbus</v>
      </c>
      <c r="N936" s="3" t="str">
        <f>_xlfn.XLOOKUP(calls[[#This Row],[Customer ID]],customers[Customer ID],customers[Gedner])</f>
        <v>Female</v>
      </c>
      <c r="P936">
        <f>IF(calls[[#This Row],[Call number]]&lt;&gt;"",1,0)</f>
        <v>1</v>
      </c>
      <c r="Q936">
        <f>IF(calls[[#This Row],[Rating rounded]]=5,1,0)</f>
        <v>0</v>
      </c>
    </row>
    <row r="937" spans="2:17" x14ac:dyDescent="0.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c r="M937" s="7" t="str">
        <f>_xlfn.XLOOKUP(calls[[#This Row],[Customer ID]],customers[Customer ID],customers[City])</f>
        <v>Cleveland</v>
      </c>
      <c r="N937" s="3" t="str">
        <f>_xlfn.XLOOKUP(calls[[#This Row],[Customer ID]],customers[Customer ID],customers[Gedner])</f>
        <v>Female</v>
      </c>
      <c r="P937">
        <f>IF(calls[[#This Row],[Call number]]&lt;&gt;"",1,0)</f>
        <v>1</v>
      </c>
      <c r="Q937">
        <f>IF(calls[[#This Row],[Rating rounded]]=5,1,0)</f>
        <v>0</v>
      </c>
    </row>
    <row r="938" spans="2:17" x14ac:dyDescent="0.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c r="M938" s="7" t="str">
        <f>_xlfn.XLOOKUP(calls[[#This Row],[Customer ID]],customers[Customer ID],customers[City])</f>
        <v>Columbus</v>
      </c>
      <c r="N938" s="3" t="str">
        <f>_xlfn.XLOOKUP(calls[[#This Row],[Customer ID]],customers[Customer ID],customers[Gedner])</f>
        <v>Female</v>
      </c>
      <c r="P938">
        <f>IF(calls[[#This Row],[Call number]]&lt;&gt;"",1,0)</f>
        <v>1</v>
      </c>
      <c r="Q938">
        <f>IF(calls[[#This Row],[Rating rounded]]=5,1,0)</f>
        <v>0</v>
      </c>
    </row>
    <row r="939" spans="2:17" x14ac:dyDescent="0.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c r="M939" s="7" t="str">
        <f>_xlfn.XLOOKUP(calls[[#This Row],[Customer ID]],customers[Customer ID],customers[City])</f>
        <v>Columbus</v>
      </c>
      <c r="N939" s="3" t="str">
        <f>_xlfn.XLOOKUP(calls[[#This Row],[Customer ID]],customers[Customer ID],customers[Gedner])</f>
        <v>Female</v>
      </c>
      <c r="P939">
        <f>IF(calls[[#This Row],[Call number]]&lt;&gt;"",1,0)</f>
        <v>1</v>
      </c>
      <c r="Q939">
        <f>IF(calls[[#This Row],[Rating rounded]]=5,1,0)</f>
        <v>1</v>
      </c>
    </row>
    <row r="940" spans="2:17" x14ac:dyDescent="0.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c r="M940" s="7" t="str">
        <f>_xlfn.XLOOKUP(calls[[#This Row],[Customer ID]],customers[Customer ID],customers[City])</f>
        <v>Cleveland</v>
      </c>
      <c r="N940" s="3" t="str">
        <f>_xlfn.XLOOKUP(calls[[#This Row],[Customer ID]],customers[Customer ID],customers[Gedner])</f>
        <v>Female</v>
      </c>
      <c r="P940">
        <f>IF(calls[[#This Row],[Call number]]&lt;&gt;"",1,0)</f>
        <v>1</v>
      </c>
      <c r="Q940">
        <f>IF(calls[[#This Row],[Rating rounded]]=5,1,0)</f>
        <v>0</v>
      </c>
    </row>
    <row r="941" spans="2:17" x14ac:dyDescent="0.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c r="M941" s="7" t="str">
        <f>_xlfn.XLOOKUP(calls[[#This Row],[Customer ID]],customers[Customer ID],customers[City])</f>
        <v>Cleveland</v>
      </c>
      <c r="N941" s="3" t="str">
        <f>_xlfn.XLOOKUP(calls[[#This Row],[Customer ID]],customers[Customer ID],customers[Gedner])</f>
        <v>Male</v>
      </c>
      <c r="P941">
        <f>IF(calls[[#This Row],[Call number]]&lt;&gt;"",1,0)</f>
        <v>1</v>
      </c>
      <c r="Q941">
        <f>IF(calls[[#This Row],[Rating rounded]]=5,1,0)</f>
        <v>0</v>
      </c>
    </row>
    <row r="942" spans="2:17" x14ac:dyDescent="0.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c r="M942" s="7" t="str">
        <f>_xlfn.XLOOKUP(calls[[#This Row],[Customer ID]],customers[Customer ID],customers[City])</f>
        <v>Cincinnati</v>
      </c>
      <c r="N942" s="3" t="str">
        <f>_xlfn.XLOOKUP(calls[[#This Row],[Customer ID]],customers[Customer ID],customers[Gedner])</f>
        <v>Male</v>
      </c>
      <c r="P942">
        <f>IF(calls[[#This Row],[Call number]]&lt;&gt;"",1,0)</f>
        <v>1</v>
      </c>
      <c r="Q942">
        <f>IF(calls[[#This Row],[Rating rounded]]=5,1,0)</f>
        <v>1</v>
      </c>
    </row>
    <row r="943" spans="2:17" x14ac:dyDescent="0.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c r="M943" s="7" t="str">
        <f>_xlfn.XLOOKUP(calls[[#This Row],[Customer ID]],customers[Customer ID],customers[City])</f>
        <v>Cincinnati</v>
      </c>
      <c r="N943" s="3" t="str">
        <f>_xlfn.XLOOKUP(calls[[#This Row],[Customer ID]],customers[Customer ID],customers[Gedner])</f>
        <v>Female</v>
      </c>
      <c r="P943">
        <f>IF(calls[[#This Row],[Call number]]&lt;&gt;"",1,0)</f>
        <v>1</v>
      </c>
      <c r="Q943">
        <f>IF(calls[[#This Row],[Rating rounded]]=5,1,0)</f>
        <v>1</v>
      </c>
    </row>
    <row r="944" spans="2:17" x14ac:dyDescent="0.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c r="M944" s="7" t="str">
        <f>_xlfn.XLOOKUP(calls[[#This Row],[Customer ID]],customers[Customer ID],customers[City])</f>
        <v>Cleveland</v>
      </c>
      <c r="N944" s="3" t="str">
        <f>_xlfn.XLOOKUP(calls[[#This Row],[Customer ID]],customers[Customer ID],customers[Gedner])</f>
        <v>Female</v>
      </c>
      <c r="P944">
        <f>IF(calls[[#This Row],[Call number]]&lt;&gt;"",1,0)</f>
        <v>1</v>
      </c>
      <c r="Q944">
        <f>IF(calls[[#This Row],[Rating rounded]]=5,1,0)</f>
        <v>1</v>
      </c>
    </row>
    <row r="945" spans="2:17" x14ac:dyDescent="0.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c r="M945" s="7" t="str">
        <f>_xlfn.XLOOKUP(calls[[#This Row],[Customer ID]],customers[Customer ID],customers[City])</f>
        <v>Columbus</v>
      </c>
      <c r="N945" s="3" t="str">
        <f>_xlfn.XLOOKUP(calls[[#This Row],[Customer ID]],customers[Customer ID],customers[Gedner])</f>
        <v>Female</v>
      </c>
      <c r="P945">
        <f>IF(calls[[#This Row],[Call number]]&lt;&gt;"",1,0)</f>
        <v>1</v>
      </c>
      <c r="Q945">
        <f>IF(calls[[#This Row],[Rating rounded]]=5,1,0)</f>
        <v>0</v>
      </c>
    </row>
    <row r="946" spans="2:17" x14ac:dyDescent="0.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c r="M946" s="7" t="str">
        <f>_xlfn.XLOOKUP(calls[[#This Row],[Customer ID]],customers[Customer ID],customers[City])</f>
        <v>Columbus</v>
      </c>
      <c r="N946" s="3" t="str">
        <f>_xlfn.XLOOKUP(calls[[#This Row],[Customer ID]],customers[Customer ID],customers[Gedner])</f>
        <v>Male</v>
      </c>
      <c r="P946">
        <f>IF(calls[[#This Row],[Call number]]&lt;&gt;"",1,0)</f>
        <v>1</v>
      </c>
      <c r="Q946">
        <f>IF(calls[[#This Row],[Rating rounded]]=5,1,0)</f>
        <v>0</v>
      </c>
    </row>
    <row r="947" spans="2:17" x14ac:dyDescent="0.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c r="M947" s="7" t="str">
        <f>_xlfn.XLOOKUP(calls[[#This Row],[Customer ID]],customers[Customer ID],customers[City])</f>
        <v>Columbus</v>
      </c>
      <c r="N947" s="3" t="str">
        <f>_xlfn.XLOOKUP(calls[[#This Row],[Customer ID]],customers[Customer ID],customers[Gedner])</f>
        <v>Female</v>
      </c>
      <c r="P947">
        <f>IF(calls[[#This Row],[Call number]]&lt;&gt;"",1,0)</f>
        <v>1</v>
      </c>
      <c r="Q947">
        <f>IF(calls[[#This Row],[Rating rounded]]=5,1,0)</f>
        <v>0</v>
      </c>
    </row>
    <row r="948" spans="2:17" x14ac:dyDescent="0.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c r="M948" s="7" t="str">
        <f>_xlfn.XLOOKUP(calls[[#This Row],[Customer ID]],customers[Customer ID],customers[City])</f>
        <v>Cleveland</v>
      </c>
      <c r="N948" s="3" t="str">
        <f>_xlfn.XLOOKUP(calls[[#This Row],[Customer ID]],customers[Customer ID],customers[Gedner])</f>
        <v>Female</v>
      </c>
      <c r="P948">
        <f>IF(calls[[#This Row],[Call number]]&lt;&gt;"",1,0)</f>
        <v>1</v>
      </c>
      <c r="Q948">
        <f>IF(calls[[#This Row],[Rating rounded]]=5,1,0)</f>
        <v>0</v>
      </c>
    </row>
    <row r="949" spans="2:17" x14ac:dyDescent="0.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c r="M949" s="7" t="str">
        <f>_xlfn.XLOOKUP(calls[[#This Row],[Customer ID]],customers[Customer ID],customers[City])</f>
        <v>Cleveland</v>
      </c>
      <c r="N949" s="3" t="str">
        <f>_xlfn.XLOOKUP(calls[[#This Row],[Customer ID]],customers[Customer ID],customers[Gedner])</f>
        <v>Female</v>
      </c>
      <c r="P949">
        <f>IF(calls[[#This Row],[Call number]]&lt;&gt;"",1,0)</f>
        <v>1</v>
      </c>
      <c r="Q949">
        <f>IF(calls[[#This Row],[Rating rounded]]=5,1,0)</f>
        <v>0</v>
      </c>
    </row>
    <row r="950" spans="2:17" x14ac:dyDescent="0.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c r="M950" s="7" t="str">
        <f>_xlfn.XLOOKUP(calls[[#This Row],[Customer ID]],customers[Customer ID],customers[City])</f>
        <v>Columbus</v>
      </c>
      <c r="N950" s="3" t="str">
        <f>_xlfn.XLOOKUP(calls[[#This Row],[Customer ID]],customers[Customer ID],customers[Gedner])</f>
        <v>Male</v>
      </c>
      <c r="P950">
        <f>IF(calls[[#This Row],[Call number]]&lt;&gt;"",1,0)</f>
        <v>1</v>
      </c>
      <c r="Q950">
        <f>IF(calls[[#This Row],[Rating rounded]]=5,1,0)</f>
        <v>1</v>
      </c>
    </row>
    <row r="951" spans="2:17" x14ac:dyDescent="0.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c r="M951" s="7" t="str">
        <f>_xlfn.XLOOKUP(calls[[#This Row],[Customer ID]],customers[Customer ID],customers[City])</f>
        <v>Cincinnati</v>
      </c>
      <c r="N951" s="3" t="str">
        <f>_xlfn.XLOOKUP(calls[[#This Row],[Customer ID]],customers[Customer ID],customers[Gedner])</f>
        <v>Male</v>
      </c>
      <c r="P951">
        <f>IF(calls[[#This Row],[Call number]]&lt;&gt;"",1,0)</f>
        <v>1</v>
      </c>
      <c r="Q951">
        <f>IF(calls[[#This Row],[Rating rounded]]=5,1,0)</f>
        <v>1</v>
      </c>
    </row>
    <row r="952" spans="2:17" x14ac:dyDescent="0.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c r="M952" s="7" t="str">
        <f>_xlfn.XLOOKUP(calls[[#This Row],[Customer ID]],customers[Customer ID],customers[City])</f>
        <v>Columbus</v>
      </c>
      <c r="N952" s="3" t="str">
        <f>_xlfn.XLOOKUP(calls[[#This Row],[Customer ID]],customers[Customer ID],customers[Gedner])</f>
        <v>Female</v>
      </c>
      <c r="P952">
        <f>IF(calls[[#This Row],[Call number]]&lt;&gt;"",1,0)</f>
        <v>1</v>
      </c>
      <c r="Q952">
        <f>IF(calls[[#This Row],[Rating rounded]]=5,1,0)</f>
        <v>0</v>
      </c>
    </row>
    <row r="953" spans="2:17" x14ac:dyDescent="0.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c r="M953" s="7" t="str">
        <f>_xlfn.XLOOKUP(calls[[#This Row],[Customer ID]],customers[Customer ID],customers[City])</f>
        <v>Cincinnati</v>
      </c>
      <c r="N953" s="3" t="str">
        <f>_xlfn.XLOOKUP(calls[[#This Row],[Customer ID]],customers[Customer ID],customers[Gedner])</f>
        <v>Male</v>
      </c>
      <c r="P953">
        <f>IF(calls[[#This Row],[Call number]]&lt;&gt;"",1,0)</f>
        <v>1</v>
      </c>
      <c r="Q953">
        <f>IF(calls[[#This Row],[Rating rounded]]=5,1,0)</f>
        <v>0</v>
      </c>
    </row>
    <row r="954" spans="2:17" x14ac:dyDescent="0.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c r="M954" s="7" t="str">
        <f>_xlfn.XLOOKUP(calls[[#This Row],[Customer ID]],customers[Customer ID],customers[City])</f>
        <v>Cleveland</v>
      </c>
      <c r="N954" s="3" t="str">
        <f>_xlfn.XLOOKUP(calls[[#This Row],[Customer ID]],customers[Customer ID],customers[Gedner])</f>
        <v>Female</v>
      </c>
      <c r="P954">
        <f>IF(calls[[#This Row],[Call number]]&lt;&gt;"",1,0)</f>
        <v>1</v>
      </c>
      <c r="Q954">
        <f>IF(calls[[#This Row],[Rating rounded]]=5,1,0)</f>
        <v>1</v>
      </c>
    </row>
    <row r="955" spans="2:17" x14ac:dyDescent="0.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c r="M955" s="7" t="str">
        <f>_xlfn.XLOOKUP(calls[[#This Row],[Customer ID]],customers[Customer ID],customers[City])</f>
        <v>Columbus</v>
      </c>
      <c r="N955" s="3" t="str">
        <f>_xlfn.XLOOKUP(calls[[#This Row],[Customer ID]],customers[Customer ID],customers[Gedner])</f>
        <v>Female</v>
      </c>
      <c r="P955">
        <f>IF(calls[[#This Row],[Call number]]&lt;&gt;"",1,0)</f>
        <v>1</v>
      </c>
      <c r="Q955">
        <f>IF(calls[[#This Row],[Rating rounded]]=5,1,0)</f>
        <v>0</v>
      </c>
    </row>
    <row r="956" spans="2:17" x14ac:dyDescent="0.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c r="M956" s="7" t="str">
        <f>_xlfn.XLOOKUP(calls[[#This Row],[Customer ID]],customers[Customer ID],customers[City])</f>
        <v>Columbus</v>
      </c>
      <c r="N956" s="3" t="str">
        <f>_xlfn.XLOOKUP(calls[[#This Row],[Customer ID]],customers[Customer ID],customers[Gedner])</f>
        <v>Male</v>
      </c>
      <c r="P956">
        <f>IF(calls[[#This Row],[Call number]]&lt;&gt;"",1,0)</f>
        <v>1</v>
      </c>
      <c r="Q956">
        <f>IF(calls[[#This Row],[Rating rounded]]=5,1,0)</f>
        <v>0</v>
      </c>
    </row>
    <row r="957" spans="2:17" x14ac:dyDescent="0.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c r="M957" s="7" t="str">
        <f>_xlfn.XLOOKUP(calls[[#This Row],[Customer ID]],customers[Customer ID],customers[City])</f>
        <v>Cincinnati</v>
      </c>
      <c r="N957" s="3" t="str">
        <f>_xlfn.XLOOKUP(calls[[#This Row],[Customer ID]],customers[Customer ID],customers[Gedner])</f>
        <v>Male</v>
      </c>
      <c r="P957">
        <f>IF(calls[[#This Row],[Call number]]&lt;&gt;"",1,0)</f>
        <v>1</v>
      </c>
      <c r="Q957">
        <f>IF(calls[[#This Row],[Rating rounded]]=5,1,0)</f>
        <v>0</v>
      </c>
    </row>
    <row r="958" spans="2:17" x14ac:dyDescent="0.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c r="M958" s="7" t="str">
        <f>_xlfn.XLOOKUP(calls[[#This Row],[Customer ID]],customers[Customer ID],customers[City])</f>
        <v>Cleveland</v>
      </c>
      <c r="N958" s="3" t="str">
        <f>_xlfn.XLOOKUP(calls[[#This Row],[Customer ID]],customers[Customer ID],customers[Gedner])</f>
        <v>Female</v>
      </c>
      <c r="P958">
        <f>IF(calls[[#This Row],[Call number]]&lt;&gt;"",1,0)</f>
        <v>1</v>
      </c>
      <c r="Q958">
        <f>IF(calls[[#This Row],[Rating rounded]]=5,1,0)</f>
        <v>0</v>
      </c>
    </row>
    <row r="959" spans="2:17" x14ac:dyDescent="0.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c r="M959" s="7" t="str">
        <f>_xlfn.XLOOKUP(calls[[#This Row],[Customer ID]],customers[Customer ID],customers[City])</f>
        <v>Columbus</v>
      </c>
      <c r="N959" s="3" t="str">
        <f>_xlfn.XLOOKUP(calls[[#This Row],[Customer ID]],customers[Customer ID],customers[Gedner])</f>
        <v>Female</v>
      </c>
      <c r="P959">
        <f>IF(calls[[#This Row],[Call number]]&lt;&gt;"",1,0)</f>
        <v>1</v>
      </c>
      <c r="Q959">
        <f>IF(calls[[#This Row],[Rating rounded]]=5,1,0)</f>
        <v>0</v>
      </c>
    </row>
    <row r="960" spans="2:17" x14ac:dyDescent="0.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c r="M960" s="7" t="str">
        <f>_xlfn.XLOOKUP(calls[[#This Row],[Customer ID]],customers[Customer ID],customers[City])</f>
        <v>Columbus</v>
      </c>
      <c r="N960" s="3" t="str">
        <f>_xlfn.XLOOKUP(calls[[#This Row],[Customer ID]],customers[Customer ID],customers[Gedner])</f>
        <v>Male</v>
      </c>
      <c r="P960">
        <f>IF(calls[[#This Row],[Call number]]&lt;&gt;"",1,0)</f>
        <v>1</v>
      </c>
      <c r="Q960">
        <f>IF(calls[[#This Row],[Rating rounded]]=5,1,0)</f>
        <v>0</v>
      </c>
    </row>
    <row r="961" spans="2:17" x14ac:dyDescent="0.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c r="M961" s="7" t="str">
        <f>_xlfn.XLOOKUP(calls[[#This Row],[Customer ID]],customers[Customer ID],customers[City])</f>
        <v>Cleveland</v>
      </c>
      <c r="N961" s="3" t="str">
        <f>_xlfn.XLOOKUP(calls[[#This Row],[Customer ID]],customers[Customer ID],customers[Gedner])</f>
        <v>Female</v>
      </c>
      <c r="P961">
        <f>IF(calls[[#This Row],[Call number]]&lt;&gt;"",1,0)</f>
        <v>1</v>
      </c>
      <c r="Q961">
        <f>IF(calls[[#This Row],[Rating rounded]]=5,1,0)</f>
        <v>0</v>
      </c>
    </row>
    <row r="962" spans="2:17" x14ac:dyDescent="0.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c r="M962" s="7" t="str">
        <f>_xlfn.XLOOKUP(calls[[#This Row],[Customer ID]],customers[Customer ID],customers[City])</f>
        <v>Cleveland</v>
      </c>
      <c r="N962" s="3" t="str">
        <f>_xlfn.XLOOKUP(calls[[#This Row],[Customer ID]],customers[Customer ID],customers[Gedner])</f>
        <v>Female</v>
      </c>
      <c r="P962">
        <f>IF(calls[[#This Row],[Call number]]&lt;&gt;"",1,0)</f>
        <v>1</v>
      </c>
      <c r="Q962">
        <f>IF(calls[[#This Row],[Rating rounded]]=5,1,0)</f>
        <v>0</v>
      </c>
    </row>
    <row r="963" spans="2:17" x14ac:dyDescent="0.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c r="M963" s="7" t="str">
        <f>_xlfn.XLOOKUP(calls[[#This Row],[Customer ID]],customers[Customer ID],customers[City])</f>
        <v>Cleveland</v>
      </c>
      <c r="N963" s="3" t="str">
        <f>_xlfn.XLOOKUP(calls[[#This Row],[Customer ID]],customers[Customer ID],customers[Gedner])</f>
        <v>Female</v>
      </c>
      <c r="P963">
        <f>IF(calls[[#This Row],[Call number]]&lt;&gt;"",1,0)</f>
        <v>1</v>
      </c>
      <c r="Q963">
        <f>IF(calls[[#This Row],[Rating rounded]]=5,1,0)</f>
        <v>0</v>
      </c>
    </row>
    <row r="964" spans="2:17" x14ac:dyDescent="0.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c r="M964" s="7" t="str">
        <f>_xlfn.XLOOKUP(calls[[#This Row],[Customer ID]],customers[Customer ID],customers[City])</f>
        <v>Cincinnati</v>
      </c>
      <c r="N964" s="3" t="str">
        <f>_xlfn.XLOOKUP(calls[[#This Row],[Customer ID]],customers[Customer ID],customers[Gedner])</f>
        <v>Female</v>
      </c>
      <c r="P964">
        <f>IF(calls[[#This Row],[Call number]]&lt;&gt;"",1,0)</f>
        <v>1</v>
      </c>
      <c r="Q964">
        <f>IF(calls[[#This Row],[Rating rounded]]=5,1,0)</f>
        <v>0</v>
      </c>
    </row>
    <row r="965" spans="2:17" x14ac:dyDescent="0.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c r="M965" s="7" t="str">
        <f>_xlfn.XLOOKUP(calls[[#This Row],[Customer ID]],customers[Customer ID],customers[City])</f>
        <v>Cleveland</v>
      </c>
      <c r="N965" s="3" t="str">
        <f>_xlfn.XLOOKUP(calls[[#This Row],[Customer ID]],customers[Customer ID],customers[Gedner])</f>
        <v>Female</v>
      </c>
      <c r="P965">
        <f>IF(calls[[#This Row],[Call number]]&lt;&gt;"",1,0)</f>
        <v>1</v>
      </c>
      <c r="Q965">
        <f>IF(calls[[#This Row],[Rating rounded]]=5,1,0)</f>
        <v>0</v>
      </c>
    </row>
    <row r="966" spans="2:17" x14ac:dyDescent="0.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c r="M966" s="7" t="str">
        <f>_xlfn.XLOOKUP(calls[[#This Row],[Customer ID]],customers[Customer ID],customers[City])</f>
        <v>Columbus</v>
      </c>
      <c r="N966" s="3" t="str">
        <f>_xlfn.XLOOKUP(calls[[#This Row],[Customer ID]],customers[Customer ID],customers[Gedner])</f>
        <v>Female</v>
      </c>
      <c r="P966">
        <f>IF(calls[[#This Row],[Call number]]&lt;&gt;"",1,0)</f>
        <v>1</v>
      </c>
      <c r="Q966">
        <f>IF(calls[[#This Row],[Rating rounded]]=5,1,0)</f>
        <v>0</v>
      </c>
    </row>
    <row r="967" spans="2:17" x14ac:dyDescent="0.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c r="M967" s="7" t="str">
        <f>_xlfn.XLOOKUP(calls[[#This Row],[Customer ID]],customers[Customer ID],customers[City])</f>
        <v>Cincinnati</v>
      </c>
      <c r="N967" s="3" t="str">
        <f>_xlfn.XLOOKUP(calls[[#This Row],[Customer ID]],customers[Customer ID],customers[Gedner])</f>
        <v>Female</v>
      </c>
      <c r="P967">
        <f>IF(calls[[#This Row],[Call number]]&lt;&gt;"",1,0)</f>
        <v>1</v>
      </c>
      <c r="Q967">
        <f>IF(calls[[#This Row],[Rating rounded]]=5,1,0)</f>
        <v>1</v>
      </c>
    </row>
    <row r="968" spans="2:17" x14ac:dyDescent="0.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c r="M968" s="7" t="str">
        <f>_xlfn.XLOOKUP(calls[[#This Row],[Customer ID]],customers[Customer ID],customers[City])</f>
        <v>Columbus</v>
      </c>
      <c r="N968" s="3" t="str">
        <f>_xlfn.XLOOKUP(calls[[#This Row],[Customer ID]],customers[Customer ID],customers[Gedner])</f>
        <v>Male</v>
      </c>
      <c r="P968">
        <f>IF(calls[[#This Row],[Call number]]&lt;&gt;"",1,0)</f>
        <v>1</v>
      </c>
      <c r="Q968">
        <f>IF(calls[[#This Row],[Rating rounded]]=5,1,0)</f>
        <v>0</v>
      </c>
    </row>
    <row r="969" spans="2:17" x14ac:dyDescent="0.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c r="M969" s="7" t="str">
        <f>_xlfn.XLOOKUP(calls[[#This Row],[Customer ID]],customers[Customer ID],customers[City])</f>
        <v>Columbus</v>
      </c>
      <c r="N969" s="3" t="str">
        <f>_xlfn.XLOOKUP(calls[[#This Row],[Customer ID]],customers[Customer ID],customers[Gedner])</f>
        <v>Male</v>
      </c>
      <c r="P969">
        <f>IF(calls[[#This Row],[Call number]]&lt;&gt;"",1,0)</f>
        <v>1</v>
      </c>
      <c r="Q969">
        <f>IF(calls[[#This Row],[Rating rounded]]=5,1,0)</f>
        <v>0</v>
      </c>
    </row>
    <row r="970" spans="2:17" x14ac:dyDescent="0.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c r="M970" s="7" t="str">
        <f>_xlfn.XLOOKUP(calls[[#This Row],[Customer ID]],customers[Customer ID],customers[City])</f>
        <v>Cleveland</v>
      </c>
      <c r="N970" s="3" t="str">
        <f>_xlfn.XLOOKUP(calls[[#This Row],[Customer ID]],customers[Customer ID],customers[Gedner])</f>
        <v>Female</v>
      </c>
      <c r="P970">
        <f>IF(calls[[#This Row],[Call number]]&lt;&gt;"",1,0)</f>
        <v>1</v>
      </c>
      <c r="Q970">
        <f>IF(calls[[#This Row],[Rating rounded]]=5,1,0)</f>
        <v>0</v>
      </c>
    </row>
    <row r="971" spans="2:17" x14ac:dyDescent="0.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c r="M971" s="7" t="str">
        <f>_xlfn.XLOOKUP(calls[[#This Row],[Customer ID]],customers[Customer ID],customers[City])</f>
        <v>Cleveland</v>
      </c>
      <c r="N971" s="3" t="str">
        <f>_xlfn.XLOOKUP(calls[[#This Row],[Customer ID]],customers[Customer ID],customers[Gedner])</f>
        <v>Female</v>
      </c>
      <c r="P971">
        <f>IF(calls[[#This Row],[Call number]]&lt;&gt;"",1,0)</f>
        <v>1</v>
      </c>
      <c r="Q971">
        <f>IF(calls[[#This Row],[Rating rounded]]=5,1,0)</f>
        <v>1</v>
      </c>
    </row>
    <row r="972" spans="2:17" x14ac:dyDescent="0.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c r="M972" s="7" t="str">
        <f>_xlfn.XLOOKUP(calls[[#This Row],[Customer ID]],customers[Customer ID],customers[City])</f>
        <v>Columbus</v>
      </c>
      <c r="N972" s="3" t="str">
        <f>_xlfn.XLOOKUP(calls[[#This Row],[Customer ID]],customers[Customer ID],customers[Gedner])</f>
        <v>Male</v>
      </c>
      <c r="P972">
        <f>IF(calls[[#This Row],[Call number]]&lt;&gt;"",1,0)</f>
        <v>1</v>
      </c>
      <c r="Q972">
        <f>IF(calls[[#This Row],[Rating rounded]]=5,1,0)</f>
        <v>0</v>
      </c>
    </row>
    <row r="973" spans="2:17" x14ac:dyDescent="0.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c r="M973" s="7" t="str">
        <f>_xlfn.XLOOKUP(calls[[#This Row],[Customer ID]],customers[Customer ID],customers[City])</f>
        <v>Cleveland</v>
      </c>
      <c r="N973" s="3" t="str">
        <f>_xlfn.XLOOKUP(calls[[#This Row],[Customer ID]],customers[Customer ID],customers[Gedner])</f>
        <v>Female</v>
      </c>
      <c r="P973">
        <f>IF(calls[[#This Row],[Call number]]&lt;&gt;"",1,0)</f>
        <v>1</v>
      </c>
      <c r="Q973">
        <f>IF(calls[[#This Row],[Rating rounded]]=5,1,0)</f>
        <v>1</v>
      </c>
    </row>
    <row r="974" spans="2:17" x14ac:dyDescent="0.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c r="M974" s="7" t="str">
        <f>_xlfn.XLOOKUP(calls[[#This Row],[Customer ID]],customers[Customer ID],customers[City])</f>
        <v>Columbus</v>
      </c>
      <c r="N974" s="3" t="str">
        <f>_xlfn.XLOOKUP(calls[[#This Row],[Customer ID]],customers[Customer ID],customers[Gedner])</f>
        <v>Male</v>
      </c>
      <c r="P974">
        <f>IF(calls[[#This Row],[Call number]]&lt;&gt;"",1,0)</f>
        <v>1</v>
      </c>
      <c r="Q974">
        <f>IF(calls[[#This Row],[Rating rounded]]=5,1,0)</f>
        <v>0</v>
      </c>
    </row>
    <row r="975" spans="2:17" x14ac:dyDescent="0.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c r="M975" s="7" t="str">
        <f>_xlfn.XLOOKUP(calls[[#This Row],[Customer ID]],customers[Customer ID],customers[City])</f>
        <v>Cleveland</v>
      </c>
      <c r="N975" s="3" t="str">
        <f>_xlfn.XLOOKUP(calls[[#This Row],[Customer ID]],customers[Customer ID],customers[Gedner])</f>
        <v>Male</v>
      </c>
      <c r="P975">
        <f>IF(calls[[#This Row],[Call number]]&lt;&gt;"",1,0)</f>
        <v>1</v>
      </c>
      <c r="Q975">
        <f>IF(calls[[#This Row],[Rating rounded]]=5,1,0)</f>
        <v>0</v>
      </c>
    </row>
    <row r="976" spans="2:17" x14ac:dyDescent="0.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c r="M976" s="7" t="str">
        <f>_xlfn.XLOOKUP(calls[[#This Row],[Customer ID]],customers[Customer ID],customers[City])</f>
        <v>Cleveland</v>
      </c>
      <c r="N976" s="3" t="str">
        <f>_xlfn.XLOOKUP(calls[[#This Row],[Customer ID]],customers[Customer ID],customers[Gedner])</f>
        <v>Female</v>
      </c>
      <c r="P976">
        <f>IF(calls[[#This Row],[Call number]]&lt;&gt;"",1,0)</f>
        <v>1</v>
      </c>
      <c r="Q976">
        <f>IF(calls[[#This Row],[Rating rounded]]=5,1,0)</f>
        <v>1</v>
      </c>
    </row>
    <row r="977" spans="2:17" x14ac:dyDescent="0.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c r="M977" s="7" t="str">
        <f>_xlfn.XLOOKUP(calls[[#This Row],[Customer ID]],customers[Customer ID],customers[City])</f>
        <v>Cleveland</v>
      </c>
      <c r="N977" s="3" t="str">
        <f>_xlfn.XLOOKUP(calls[[#This Row],[Customer ID]],customers[Customer ID],customers[Gedner])</f>
        <v>Female</v>
      </c>
      <c r="P977">
        <f>IF(calls[[#This Row],[Call number]]&lt;&gt;"",1,0)</f>
        <v>1</v>
      </c>
      <c r="Q977">
        <f>IF(calls[[#This Row],[Rating rounded]]=5,1,0)</f>
        <v>1</v>
      </c>
    </row>
    <row r="978" spans="2:17" x14ac:dyDescent="0.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c r="M978" s="7" t="str">
        <f>_xlfn.XLOOKUP(calls[[#This Row],[Customer ID]],customers[Customer ID],customers[City])</f>
        <v>Columbus</v>
      </c>
      <c r="N978" s="3" t="str">
        <f>_xlfn.XLOOKUP(calls[[#This Row],[Customer ID]],customers[Customer ID],customers[Gedner])</f>
        <v>Male</v>
      </c>
      <c r="P978">
        <f>IF(calls[[#This Row],[Call number]]&lt;&gt;"",1,0)</f>
        <v>1</v>
      </c>
      <c r="Q978">
        <f>IF(calls[[#This Row],[Rating rounded]]=5,1,0)</f>
        <v>1</v>
      </c>
    </row>
    <row r="979" spans="2:17" x14ac:dyDescent="0.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c r="M979" s="7" t="str">
        <f>_xlfn.XLOOKUP(calls[[#This Row],[Customer ID]],customers[Customer ID],customers[City])</f>
        <v>Cleveland</v>
      </c>
      <c r="N979" s="3" t="str">
        <f>_xlfn.XLOOKUP(calls[[#This Row],[Customer ID]],customers[Customer ID],customers[Gedner])</f>
        <v>Female</v>
      </c>
      <c r="P979">
        <f>IF(calls[[#This Row],[Call number]]&lt;&gt;"",1,0)</f>
        <v>1</v>
      </c>
      <c r="Q979">
        <f>IF(calls[[#This Row],[Rating rounded]]=5,1,0)</f>
        <v>0</v>
      </c>
    </row>
    <row r="980" spans="2:17" x14ac:dyDescent="0.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c r="M980" s="7" t="str">
        <f>_xlfn.XLOOKUP(calls[[#This Row],[Customer ID]],customers[Customer ID],customers[City])</f>
        <v>Columbus</v>
      </c>
      <c r="N980" s="3" t="str">
        <f>_xlfn.XLOOKUP(calls[[#This Row],[Customer ID]],customers[Customer ID],customers[Gedner])</f>
        <v>Male</v>
      </c>
      <c r="P980">
        <f>IF(calls[[#This Row],[Call number]]&lt;&gt;"",1,0)</f>
        <v>1</v>
      </c>
      <c r="Q980">
        <f>IF(calls[[#This Row],[Rating rounded]]=5,1,0)</f>
        <v>1</v>
      </c>
    </row>
    <row r="981" spans="2:17" x14ac:dyDescent="0.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c r="M981" s="7" t="str">
        <f>_xlfn.XLOOKUP(calls[[#This Row],[Customer ID]],customers[Customer ID],customers[City])</f>
        <v>Columbus</v>
      </c>
      <c r="N981" s="3" t="str">
        <f>_xlfn.XLOOKUP(calls[[#This Row],[Customer ID]],customers[Customer ID],customers[Gedner])</f>
        <v>Female</v>
      </c>
      <c r="P981">
        <f>IF(calls[[#This Row],[Call number]]&lt;&gt;"",1,0)</f>
        <v>1</v>
      </c>
      <c r="Q981">
        <f>IF(calls[[#This Row],[Rating rounded]]=5,1,0)</f>
        <v>0</v>
      </c>
    </row>
    <row r="982" spans="2:17" x14ac:dyDescent="0.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c r="M982" s="7" t="str">
        <f>_xlfn.XLOOKUP(calls[[#This Row],[Customer ID]],customers[Customer ID],customers[City])</f>
        <v>Cincinnati</v>
      </c>
      <c r="N982" s="3" t="str">
        <f>_xlfn.XLOOKUP(calls[[#This Row],[Customer ID]],customers[Customer ID],customers[Gedner])</f>
        <v>Female</v>
      </c>
      <c r="P982">
        <f>IF(calls[[#This Row],[Call number]]&lt;&gt;"",1,0)</f>
        <v>1</v>
      </c>
      <c r="Q982">
        <f>IF(calls[[#This Row],[Rating rounded]]=5,1,0)</f>
        <v>1</v>
      </c>
    </row>
    <row r="983" spans="2:17" x14ac:dyDescent="0.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c r="M983" s="7" t="str">
        <f>_xlfn.XLOOKUP(calls[[#This Row],[Customer ID]],customers[Customer ID],customers[City])</f>
        <v>Cleveland</v>
      </c>
      <c r="N983" s="3" t="str">
        <f>_xlfn.XLOOKUP(calls[[#This Row],[Customer ID]],customers[Customer ID],customers[Gedner])</f>
        <v>Female</v>
      </c>
      <c r="P983">
        <f>IF(calls[[#This Row],[Call number]]&lt;&gt;"",1,0)</f>
        <v>1</v>
      </c>
      <c r="Q983">
        <f>IF(calls[[#This Row],[Rating rounded]]=5,1,0)</f>
        <v>0</v>
      </c>
    </row>
    <row r="984" spans="2:17" x14ac:dyDescent="0.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c r="M984" s="7" t="str">
        <f>_xlfn.XLOOKUP(calls[[#This Row],[Customer ID]],customers[Customer ID],customers[City])</f>
        <v>Cleveland</v>
      </c>
      <c r="N984" s="3" t="str">
        <f>_xlfn.XLOOKUP(calls[[#This Row],[Customer ID]],customers[Customer ID],customers[Gedner])</f>
        <v>Female</v>
      </c>
      <c r="P984">
        <f>IF(calls[[#This Row],[Call number]]&lt;&gt;"",1,0)</f>
        <v>1</v>
      </c>
      <c r="Q984">
        <f>IF(calls[[#This Row],[Rating rounded]]=5,1,0)</f>
        <v>0</v>
      </c>
    </row>
    <row r="985" spans="2:17" x14ac:dyDescent="0.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c r="M985" s="7" t="str">
        <f>_xlfn.XLOOKUP(calls[[#This Row],[Customer ID]],customers[Customer ID],customers[City])</f>
        <v>Columbus</v>
      </c>
      <c r="N985" s="3" t="str">
        <f>_xlfn.XLOOKUP(calls[[#This Row],[Customer ID]],customers[Customer ID],customers[Gedner])</f>
        <v>Female</v>
      </c>
      <c r="P985">
        <f>IF(calls[[#This Row],[Call number]]&lt;&gt;"",1,0)</f>
        <v>1</v>
      </c>
      <c r="Q985">
        <f>IF(calls[[#This Row],[Rating rounded]]=5,1,0)</f>
        <v>0</v>
      </c>
    </row>
    <row r="986" spans="2:17" x14ac:dyDescent="0.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c r="M986" s="7" t="str">
        <f>_xlfn.XLOOKUP(calls[[#This Row],[Customer ID]],customers[Customer ID],customers[City])</f>
        <v>Columbus</v>
      </c>
      <c r="N986" s="3" t="str">
        <f>_xlfn.XLOOKUP(calls[[#This Row],[Customer ID]],customers[Customer ID],customers[Gedner])</f>
        <v>Male</v>
      </c>
      <c r="P986">
        <f>IF(calls[[#This Row],[Call number]]&lt;&gt;"",1,0)</f>
        <v>1</v>
      </c>
      <c r="Q986">
        <f>IF(calls[[#This Row],[Rating rounded]]=5,1,0)</f>
        <v>0</v>
      </c>
    </row>
    <row r="987" spans="2:17" x14ac:dyDescent="0.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c r="M987" s="7" t="str">
        <f>_xlfn.XLOOKUP(calls[[#This Row],[Customer ID]],customers[Customer ID],customers[City])</f>
        <v>Cleveland</v>
      </c>
      <c r="N987" s="3" t="str">
        <f>_xlfn.XLOOKUP(calls[[#This Row],[Customer ID]],customers[Customer ID],customers[Gedner])</f>
        <v>Female</v>
      </c>
      <c r="P987">
        <f>IF(calls[[#This Row],[Call number]]&lt;&gt;"",1,0)</f>
        <v>1</v>
      </c>
      <c r="Q987">
        <f>IF(calls[[#This Row],[Rating rounded]]=5,1,0)</f>
        <v>0</v>
      </c>
    </row>
    <row r="988" spans="2:17" x14ac:dyDescent="0.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c r="M988" s="7" t="str">
        <f>_xlfn.XLOOKUP(calls[[#This Row],[Customer ID]],customers[Customer ID],customers[City])</f>
        <v>Cincinnati</v>
      </c>
      <c r="N988" s="3" t="str">
        <f>_xlfn.XLOOKUP(calls[[#This Row],[Customer ID]],customers[Customer ID],customers[Gedner])</f>
        <v>Male</v>
      </c>
      <c r="P988">
        <f>IF(calls[[#This Row],[Call number]]&lt;&gt;"",1,0)</f>
        <v>1</v>
      </c>
      <c r="Q988">
        <f>IF(calls[[#This Row],[Rating rounded]]=5,1,0)</f>
        <v>0</v>
      </c>
    </row>
    <row r="989" spans="2:17" x14ac:dyDescent="0.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c r="M989" s="7" t="str">
        <f>_xlfn.XLOOKUP(calls[[#This Row],[Customer ID]],customers[Customer ID],customers[City])</f>
        <v>Cincinnati</v>
      </c>
      <c r="N989" s="3" t="str">
        <f>_xlfn.XLOOKUP(calls[[#This Row],[Customer ID]],customers[Customer ID],customers[Gedner])</f>
        <v>Male</v>
      </c>
      <c r="P989">
        <f>IF(calls[[#This Row],[Call number]]&lt;&gt;"",1,0)</f>
        <v>1</v>
      </c>
      <c r="Q989">
        <f>IF(calls[[#This Row],[Rating rounded]]=5,1,0)</f>
        <v>0</v>
      </c>
    </row>
    <row r="990" spans="2:17" x14ac:dyDescent="0.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c r="M990" s="7" t="str">
        <f>_xlfn.XLOOKUP(calls[[#This Row],[Customer ID]],customers[Customer ID],customers[City])</f>
        <v>Cincinnati</v>
      </c>
      <c r="N990" s="3" t="str">
        <f>_xlfn.XLOOKUP(calls[[#This Row],[Customer ID]],customers[Customer ID],customers[Gedner])</f>
        <v>Male</v>
      </c>
      <c r="P990">
        <f>IF(calls[[#This Row],[Call number]]&lt;&gt;"",1,0)</f>
        <v>1</v>
      </c>
      <c r="Q990">
        <f>IF(calls[[#This Row],[Rating rounded]]=5,1,0)</f>
        <v>1</v>
      </c>
    </row>
    <row r="991" spans="2:17" x14ac:dyDescent="0.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c r="M991" s="7" t="str">
        <f>_xlfn.XLOOKUP(calls[[#This Row],[Customer ID]],customers[Customer ID],customers[City])</f>
        <v>Columbus</v>
      </c>
      <c r="N991" s="3" t="str">
        <f>_xlfn.XLOOKUP(calls[[#This Row],[Customer ID]],customers[Customer ID],customers[Gedner])</f>
        <v>Female</v>
      </c>
      <c r="P991">
        <f>IF(calls[[#This Row],[Call number]]&lt;&gt;"",1,0)</f>
        <v>1</v>
      </c>
      <c r="Q991">
        <f>IF(calls[[#This Row],[Rating rounded]]=5,1,0)</f>
        <v>1</v>
      </c>
    </row>
    <row r="992" spans="2:17" x14ac:dyDescent="0.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c r="M992" s="7" t="str">
        <f>_xlfn.XLOOKUP(calls[[#This Row],[Customer ID]],customers[Customer ID],customers[City])</f>
        <v>Columbus</v>
      </c>
      <c r="N992" s="3" t="str">
        <f>_xlfn.XLOOKUP(calls[[#This Row],[Customer ID]],customers[Customer ID],customers[Gedner])</f>
        <v>Male</v>
      </c>
      <c r="P992">
        <f>IF(calls[[#This Row],[Call number]]&lt;&gt;"",1,0)</f>
        <v>1</v>
      </c>
      <c r="Q992">
        <f>IF(calls[[#This Row],[Rating rounded]]=5,1,0)</f>
        <v>1</v>
      </c>
    </row>
    <row r="993" spans="2:17" x14ac:dyDescent="0.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c r="M993" s="7" t="str">
        <f>_xlfn.XLOOKUP(calls[[#This Row],[Customer ID]],customers[Customer ID],customers[City])</f>
        <v>Cleveland</v>
      </c>
      <c r="N993" s="3" t="str">
        <f>_xlfn.XLOOKUP(calls[[#This Row],[Customer ID]],customers[Customer ID],customers[Gedner])</f>
        <v>Male</v>
      </c>
      <c r="P993">
        <f>IF(calls[[#This Row],[Call number]]&lt;&gt;"",1,0)</f>
        <v>1</v>
      </c>
      <c r="Q993">
        <f>IF(calls[[#This Row],[Rating rounded]]=5,1,0)</f>
        <v>1</v>
      </c>
    </row>
    <row r="994" spans="2:17" x14ac:dyDescent="0.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c r="M994" s="7" t="str">
        <f>_xlfn.XLOOKUP(calls[[#This Row],[Customer ID]],customers[Customer ID],customers[City])</f>
        <v>Columbus</v>
      </c>
      <c r="N994" s="3" t="str">
        <f>_xlfn.XLOOKUP(calls[[#This Row],[Customer ID]],customers[Customer ID],customers[Gedner])</f>
        <v>Male</v>
      </c>
      <c r="P994">
        <f>IF(calls[[#This Row],[Call number]]&lt;&gt;"",1,0)</f>
        <v>1</v>
      </c>
      <c r="Q994">
        <f>IF(calls[[#This Row],[Rating rounded]]=5,1,0)</f>
        <v>1</v>
      </c>
    </row>
    <row r="995" spans="2:17" x14ac:dyDescent="0.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c r="M995" s="7" t="str">
        <f>_xlfn.XLOOKUP(calls[[#This Row],[Customer ID]],customers[Customer ID],customers[City])</f>
        <v>Cincinnati</v>
      </c>
      <c r="N995" s="3" t="str">
        <f>_xlfn.XLOOKUP(calls[[#This Row],[Customer ID]],customers[Customer ID],customers[Gedner])</f>
        <v>Female</v>
      </c>
      <c r="P995">
        <f>IF(calls[[#This Row],[Call number]]&lt;&gt;"",1,0)</f>
        <v>1</v>
      </c>
      <c r="Q995">
        <f>IF(calls[[#This Row],[Rating rounded]]=5,1,0)</f>
        <v>1</v>
      </c>
    </row>
    <row r="996" spans="2:17" x14ac:dyDescent="0.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c r="M996" s="7" t="str">
        <f>_xlfn.XLOOKUP(calls[[#This Row],[Customer ID]],customers[Customer ID],customers[City])</f>
        <v>Columbus</v>
      </c>
      <c r="N996" s="3" t="str">
        <f>_xlfn.XLOOKUP(calls[[#This Row],[Customer ID]],customers[Customer ID],customers[Gedner])</f>
        <v>Female</v>
      </c>
      <c r="P996">
        <f>IF(calls[[#This Row],[Call number]]&lt;&gt;"",1,0)</f>
        <v>1</v>
      </c>
      <c r="Q996">
        <f>IF(calls[[#This Row],[Rating rounded]]=5,1,0)</f>
        <v>0</v>
      </c>
    </row>
    <row r="997" spans="2:17" x14ac:dyDescent="0.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c r="M997" s="7" t="str">
        <f>_xlfn.XLOOKUP(calls[[#This Row],[Customer ID]],customers[Customer ID],customers[City])</f>
        <v>Columbus</v>
      </c>
      <c r="N997" s="3" t="str">
        <f>_xlfn.XLOOKUP(calls[[#This Row],[Customer ID]],customers[Customer ID],customers[Gedner])</f>
        <v>Male</v>
      </c>
      <c r="P997">
        <f>IF(calls[[#This Row],[Call number]]&lt;&gt;"",1,0)</f>
        <v>1</v>
      </c>
      <c r="Q997">
        <f>IF(calls[[#This Row],[Rating rounded]]=5,1,0)</f>
        <v>0</v>
      </c>
    </row>
    <row r="998" spans="2:17" x14ac:dyDescent="0.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c r="M998" s="7" t="str">
        <f>_xlfn.XLOOKUP(calls[[#This Row],[Customer ID]],customers[Customer ID],customers[City])</f>
        <v>Columbus</v>
      </c>
      <c r="N998" s="3" t="str">
        <f>_xlfn.XLOOKUP(calls[[#This Row],[Customer ID]],customers[Customer ID],customers[Gedner])</f>
        <v>Female</v>
      </c>
      <c r="P998">
        <f>IF(calls[[#This Row],[Call number]]&lt;&gt;"",1,0)</f>
        <v>1</v>
      </c>
      <c r="Q998">
        <f>IF(calls[[#This Row],[Rating rounded]]=5,1,0)</f>
        <v>1</v>
      </c>
    </row>
    <row r="999" spans="2:17" x14ac:dyDescent="0.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c r="M999" s="7" t="str">
        <f>_xlfn.XLOOKUP(calls[[#This Row],[Customer ID]],customers[Customer ID],customers[City])</f>
        <v>Cleveland</v>
      </c>
      <c r="N999" s="3" t="str">
        <f>_xlfn.XLOOKUP(calls[[#This Row],[Customer ID]],customers[Customer ID],customers[Gedner])</f>
        <v>Male</v>
      </c>
      <c r="P999">
        <f>IF(calls[[#This Row],[Call number]]&lt;&gt;"",1,0)</f>
        <v>1</v>
      </c>
      <c r="Q999">
        <f>IF(calls[[#This Row],[Rating rounded]]=5,1,0)</f>
        <v>0</v>
      </c>
    </row>
    <row r="1000" spans="2:17" x14ac:dyDescent="0.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c r="M1000" s="7" t="str">
        <f>_xlfn.XLOOKUP(calls[[#This Row],[Customer ID]],customers[Customer ID],customers[City])</f>
        <v>Cleveland</v>
      </c>
      <c r="N1000" s="3" t="str">
        <f>_xlfn.XLOOKUP(calls[[#This Row],[Customer ID]],customers[Customer ID],customers[Gedner])</f>
        <v>Female</v>
      </c>
      <c r="P1000">
        <f>IF(calls[[#This Row],[Call number]]&lt;&gt;"",1,0)</f>
        <v>1</v>
      </c>
      <c r="Q1000">
        <f>IF(calls[[#This Row],[Rating rounded]]=5,1,0)</f>
        <v>0</v>
      </c>
    </row>
    <row r="1001" spans="2:17" x14ac:dyDescent="0.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c r="M1001" s="7" t="str">
        <f>_xlfn.XLOOKUP(calls[[#This Row],[Customer ID]],customers[Customer ID],customers[City])</f>
        <v>Cleveland</v>
      </c>
      <c r="N1001" s="3" t="str">
        <f>_xlfn.XLOOKUP(calls[[#This Row],[Customer ID]],customers[Customer ID],customers[Gedner])</f>
        <v>Female</v>
      </c>
      <c r="P1001">
        <f>IF(calls[[#This Row],[Call number]]&lt;&gt;"",1,0)</f>
        <v>1</v>
      </c>
      <c r="Q1001">
        <f>IF(calls[[#This Row],[Rating rounded]]=5,1,0)</f>
        <v>0</v>
      </c>
    </row>
    <row r="1002" spans="2:17" x14ac:dyDescent="0.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c r="M1002" s="7" t="str">
        <f>_xlfn.XLOOKUP(calls[[#This Row],[Customer ID]],customers[Customer ID],customers[City])</f>
        <v>Cleveland</v>
      </c>
      <c r="N1002" s="3" t="str">
        <f>_xlfn.XLOOKUP(calls[[#This Row],[Customer ID]],customers[Customer ID],customers[Gedner])</f>
        <v>Female</v>
      </c>
      <c r="P1002">
        <f>IF(calls[[#This Row],[Call number]]&lt;&gt;"",1,0)</f>
        <v>1</v>
      </c>
      <c r="Q1002">
        <f>IF(calls[[#This Row],[Rating rounded]]=5,1,0)</f>
        <v>0</v>
      </c>
    </row>
    <row r="1003" spans="2:17" x14ac:dyDescent="0.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c r="M1003" s="7" t="str">
        <f>_xlfn.XLOOKUP(calls[[#This Row],[Customer ID]],customers[Customer ID],customers[City])</f>
        <v>Columbus</v>
      </c>
      <c r="N1003" s="3" t="str">
        <f>_xlfn.XLOOKUP(calls[[#This Row],[Customer ID]],customers[Customer ID],customers[Gedner])</f>
        <v>Female</v>
      </c>
      <c r="P1003">
        <f>IF(calls[[#This Row],[Call number]]&lt;&gt;"",1,0)</f>
        <v>1</v>
      </c>
      <c r="Q1003">
        <f>IF(calls[[#This Row],[Rating rounded]]=5,1,0)</f>
        <v>0</v>
      </c>
    </row>
  </sheetData>
  <phoneticPr fontId="2"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2F417-E4FE-CA4A-A5A2-188CE5DEBAC2}">
  <dimension ref="A1:AB125"/>
  <sheetViews>
    <sheetView workbookViewId="0">
      <selection activeCell="M48" sqref="M48"/>
    </sheetView>
  </sheetViews>
  <sheetFormatPr baseColWidth="10" defaultRowHeight="15" x14ac:dyDescent="0.2"/>
  <cols>
    <col min="1" max="1" width="2.5" customWidth="1"/>
    <col min="2" max="2" width="2.6640625" customWidth="1"/>
    <col min="16" max="16" width="14.1640625" customWidth="1"/>
  </cols>
  <sheetData>
    <row r="1" spans="1:28" x14ac:dyDescent="0.2">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row>
    <row r="2" spans="1:28" x14ac:dyDescent="0.2">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row>
    <row r="3" spans="1:28" x14ac:dyDescent="0.2">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row>
    <row r="4" spans="1:28" x14ac:dyDescent="0.2">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row>
    <row r="5" spans="1:28" x14ac:dyDescent="0.2">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row>
    <row r="6" spans="1:28" x14ac:dyDescent="0.2">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row>
    <row r="7" spans="1:28" x14ac:dyDescent="0.2">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row>
    <row r="8" spans="1:28" x14ac:dyDescent="0.2">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row>
    <row r="9" spans="1:28" x14ac:dyDescent="0.2">
      <c r="A9" s="31"/>
      <c r="B9" s="31"/>
      <c r="C9" s="31"/>
      <c r="D9" s="31"/>
      <c r="E9" s="31"/>
      <c r="F9" s="31"/>
      <c r="G9" s="31"/>
      <c r="H9" s="31"/>
      <c r="I9" s="31"/>
      <c r="J9" s="31"/>
      <c r="K9" s="31"/>
      <c r="L9" s="31"/>
      <c r="M9" s="31"/>
      <c r="N9" s="31"/>
      <c r="O9" s="31"/>
      <c r="P9" s="31"/>
      <c r="Q9" s="31"/>
      <c r="R9" s="31"/>
      <c r="S9" s="31"/>
      <c r="T9" s="31"/>
      <c r="U9" s="31"/>
      <c r="V9" s="31"/>
      <c r="W9" s="31"/>
      <c r="X9" s="31"/>
      <c r="Y9" s="31"/>
      <c r="Z9" s="31"/>
      <c r="AA9" s="31"/>
      <c r="AB9" s="31"/>
    </row>
    <row r="10" spans="1:28" x14ac:dyDescent="0.2">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row>
    <row r="11" spans="1:28" x14ac:dyDescent="0.2">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row>
    <row r="12" spans="1:28" x14ac:dyDescent="0.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row>
    <row r="13" spans="1:28" x14ac:dyDescent="0.2">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row>
    <row r="14" spans="1:28" x14ac:dyDescent="0.2">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row>
    <row r="15" spans="1:28" x14ac:dyDescent="0.2">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row>
    <row r="16" spans="1:28" x14ac:dyDescent="0.2">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row>
    <row r="17" spans="1:28" x14ac:dyDescent="0.2">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row>
    <row r="18" spans="1:28" x14ac:dyDescent="0.2">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row>
    <row r="19" spans="1:28" x14ac:dyDescent="0.2">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row>
    <row r="20" spans="1:28" x14ac:dyDescent="0.2">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row>
    <row r="21" spans="1:28" x14ac:dyDescent="0.2">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row>
    <row r="22" spans="1:28" x14ac:dyDescent="0.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row>
    <row r="23" spans="1:28" x14ac:dyDescent="0.2">
      <c r="A23" s="31"/>
      <c r="B23" s="31"/>
      <c r="C23" s="31"/>
      <c r="D23" s="31"/>
      <c r="E23" s="31"/>
      <c r="F23" s="31"/>
      <c r="G23" s="31"/>
      <c r="H23" s="31"/>
      <c r="I23" s="31"/>
      <c r="J23" s="31"/>
      <c r="K23" s="31"/>
      <c r="L23" s="31"/>
      <c r="M23" s="31"/>
      <c r="N23" s="31"/>
      <c r="O23" s="31"/>
      <c r="P23" s="31"/>
      <c r="Q23" s="31" t="s">
        <v>1082</v>
      </c>
      <c r="R23" s="31" t="s">
        <v>1081</v>
      </c>
      <c r="S23" s="31" t="s">
        <v>1080</v>
      </c>
      <c r="T23" s="31" t="s">
        <v>1083</v>
      </c>
      <c r="U23" s="31" t="s">
        <v>1084</v>
      </c>
      <c r="V23" s="31" t="s">
        <v>1085</v>
      </c>
      <c r="W23" s="31"/>
      <c r="X23" s="31"/>
      <c r="Y23" s="31"/>
      <c r="Z23" s="31"/>
      <c r="AA23" s="31"/>
      <c r="AB23" s="31"/>
    </row>
    <row r="24" spans="1:28" x14ac:dyDescent="0.2">
      <c r="A24" s="31"/>
      <c r="B24" s="31"/>
      <c r="C24" s="31"/>
      <c r="D24" s="31"/>
      <c r="E24" s="31"/>
      <c r="F24" s="31"/>
      <c r="G24" s="31"/>
      <c r="H24" s="31"/>
      <c r="I24" s="31"/>
      <c r="J24" s="31"/>
      <c r="K24" s="31"/>
      <c r="L24" s="31"/>
      <c r="M24" s="31"/>
      <c r="N24" s="31"/>
      <c r="O24" s="31"/>
      <c r="P24" s="31" t="str" cm="1">
        <f t="array" ref="P24:V41">IF(Sheet4!D109:J126="","",Sheet4!D109:J126)</f>
        <v>Cincinnati</v>
      </c>
      <c r="Q24" s="31" t="str">
        <v/>
      </c>
      <c r="R24" s="31" t="str">
        <v/>
      </c>
      <c r="S24" s="31" t="str">
        <v/>
      </c>
      <c r="T24" s="31" t="str">
        <v/>
      </c>
      <c r="U24" s="31" t="str">
        <v/>
      </c>
      <c r="V24" s="31" t="str">
        <v/>
      </c>
      <c r="W24" s="31"/>
      <c r="X24" s="31"/>
      <c r="Y24" s="31"/>
      <c r="Z24" s="31"/>
      <c r="AA24" s="31"/>
      <c r="AB24" s="31"/>
    </row>
    <row r="25" spans="1:28" x14ac:dyDescent="0.2">
      <c r="A25" s="31"/>
      <c r="B25" s="31"/>
      <c r="C25" s="31"/>
      <c r="D25" s="31"/>
      <c r="E25" s="31"/>
      <c r="F25" s="31"/>
      <c r="G25" s="31"/>
      <c r="H25" s="31"/>
      <c r="I25" s="31"/>
      <c r="J25" s="31"/>
      <c r="K25" s="31"/>
      <c r="L25" s="31"/>
      <c r="M25" s="31"/>
      <c r="N25" s="31"/>
      <c r="O25" s="31"/>
      <c r="P25" s="31" t="str">
        <v>C0003</v>
      </c>
      <c r="Q25" s="38">
        <v>891</v>
      </c>
      <c r="R25" s="38">
        <v>1332</v>
      </c>
      <c r="S25" s="38">
        <v>1282</v>
      </c>
      <c r="T25" s="38">
        <v>739</v>
      </c>
      <c r="U25" s="38">
        <v>560</v>
      </c>
      <c r="V25" s="37">
        <v>4804</v>
      </c>
      <c r="W25" s="31"/>
      <c r="X25" s="31"/>
      <c r="Y25" s="31"/>
      <c r="Z25" s="31"/>
      <c r="AA25" s="31"/>
      <c r="AB25" s="31"/>
    </row>
    <row r="26" spans="1:28" x14ac:dyDescent="0.2">
      <c r="A26" s="31"/>
      <c r="B26" s="31"/>
      <c r="C26" s="31"/>
      <c r="D26" s="31"/>
      <c r="E26" s="31"/>
      <c r="F26" s="31"/>
      <c r="G26" s="31"/>
      <c r="H26" s="31"/>
      <c r="I26" s="31"/>
      <c r="J26" s="31"/>
      <c r="K26" s="31"/>
      <c r="L26" s="31"/>
      <c r="M26" s="31"/>
      <c r="N26" s="31"/>
      <c r="O26" s="31"/>
      <c r="P26" s="31" t="str">
        <v>C0004</v>
      </c>
      <c r="Q26" s="38">
        <v>1991</v>
      </c>
      <c r="R26" s="38">
        <v>1886</v>
      </c>
      <c r="S26" s="38">
        <v>1206</v>
      </c>
      <c r="T26" s="38">
        <v>884</v>
      </c>
      <c r="U26" s="38">
        <v>1722</v>
      </c>
      <c r="V26" s="37">
        <v>7689</v>
      </c>
      <c r="W26" s="31"/>
      <c r="X26" s="31"/>
      <c r="Y26" s="31"/>
      <c r="Z26" s="31"/>
      <c r="AA26" s="31"/>
      <c r="AB26" s="31"/>
    </row>
    <row r="27" spans="1:28" x14ac:dyDescent="0.2">
      <c r="A27" s="31"/>
      <c r="B27" s="31"/>
      <c r="C27" s="31"/>
      <c r="D27" s="31"/>
      <c r="E27" s="31"/>
      <c r="F27" s="31"/>
      <c r="G27" s="31"/>
      <c r="H27" s="31"/>
      <c r="I27" s="31"/>
      <c r="J27" s="31"/>
      <c r="K27" s="31"/>
      <c r="L27" s="31"/>
      <c r="M27" s="31"/>
      <c r="N27" s="31"/>
      <c r="O27" s="31"/>
      <c r="P27" s="31" t="str">
        <v>C0011</v>
      </c>
      <c r="Q27" s="38">
        <v>1163</v>
      </c>
      <c r="R27" s="38">
        <v>1180</v>
      </c>
      <c r="S27" s="38">
        <v>1616</v>
      </c>
      <c r="T27" s="38">
        <v>1043</v>
      </c>
      <c r="U27" s="38">
        <v>1747</v>
      </c>
      <c r="V27" s="37">
        <v>6749</v>
      </c>
      <c r="W27" s="31"/>
      <c r="X27" s="31"/>
      <c r="Y27" s="31"/>
      <c r="Z27" s="31"/>
      <c r="AA27" s="31"/>
      <c r="AB27" s="31"/>
    </row>
    <row r="28" spans="1:28" x14ac:dyDescent="0.2">
      <c r="A28" s="31"/>
      <c r="B28" s="31"/>
      <c r="C28" s="31"/>
      <c r="D28" s="31"/>
      <c r="E28" s="31"/>
      <c r="F28" s="31"/>
      <c r="G28" s="31"/>
      <c r="H28" s="31"/>
      <c r="I28" s="31"/>
      <c r="J28" s="31"/>
      <c r="K28" s="31"/>
      <c r="L28" s="31"/>
      <c r="M28" s="31"/>
      <c r="N28" s="31"/>
      <c r="O28" s="31"/>
      <c r="P28" s="31" t="str">
        <v>C0012</v>
      </c>
      <c r="Q28" s="38">
        <v>1438</v>
      </c>
      <c r="R28" s="38">
        <v>1616</v>
      </c>
      <c r="S28" s="38">
        <v>866</v>
      </c>
      <c r="T28" s="38">
        <v>829</v>
      </c>
      <c r="U28" s="38">
        <v>2070</v>
      </c>
      <c r="V28" s="37">
        <v>6819</v>
      </c>
      <c r="W28" s="31"/>
      <c r="X28" s="31"/>
      <c r="Y28" s="31"/>
      <c r="Z28" s="31"/>
      <c r="AA28" s="31"/>
      <c r="AB28" s="31"/>
    </row>
    <row r="29" spans="1:28" x14ac:dyDescent="0.2">
      <c r="A29" s="31"/>
      <c r="B29" s="31"/>
      <c r="C29" s="31"/>
      <c r="D29" s="31"/>
      <c r="E29" s="31"/>
      <c r="F29" s="31"/>
      <c r="G29" s="31"/>
      <c r="H29" s="31"/>
      <c r="I29" s="31"/>
      <c r="J29" s="31"/>
      <c r="K29" s="31"/>
      <c r="L29" s="31"/>
      <c r="M29" s="31"/>
      <c r="N29" s="31"/>
      <c r="O29" s="31"/>
      <c r="P29" s="31" t="str">
        <v>Cleveland</v>
      </c>
      <c r="Q29" s="38" t="str">
        <v/>
      </c>
      <c r="R29" s="38" t="str">
        <v/>
      </c>
      <c r="S29" s="38" t="str">
        <v/>
      </c>
      <c r="T29" s="38" t="str">
        <v/>
      </c>
      <c r="U29" s="38" t="str">
        <v/>
      </c>
      <c r="V29" s="37" t="str">
        <v/>
      </c>
      <c r="W29" s="31"/>
      <c r="X29" s="31"/>
      <c r="Y29" s="31"/>
      <c r="Z29" s="31"/>
      <c r="AA29" s="31"/>
      <c r="AB29" s="31"/>
    </row>
    <row r="30" spans="1:28" x14ac:dyDescent="0.2">
      <c r="A30" s="31"/>
      <c r="B30" s="31"/>
      <c r="C30" s="31"/>
      <c r="D30" s="31"/>
      <c r="E30" s="31"/>
      <c r="F30" s="31"/>
      <c r="G30" s="31"/>
      <c r="H30" s="31"/>
      <c r="I30" s="31"/>
      <c r="J30" s="31"/>
      <c r="K30" s="31"/>
      <c r="L30" s="31"/>
      <c r="M30" s="31"/>
      <c r="N30" s="31"/>
      <c r="O30" s="31"/>
      <c r="P30" s="31" t="str">
        <v>C0002</v>
      </c>
      <c r="Q30" s="38">
        <v>1233</v>
      </c>
      <c r="R30" s="38">
        <v>223</v>
      </c>
      <c r="S30" s="38">
        <v>1680</v>
      </c>
      <c r="T30" s="38">
        <v>990</v>
      </c>
      <c r="U30" s="38">
        <v>1508</v>
      </c>
      <c r="V30" s="37">
        <v>5634</v>
      </c>
      <c r="W30" s="31"/>
      <c r="X30" s="31"/>
      <c r="Y30" s="31"/>
      <c r="Z30" s="31"/>
      <c r="AA30" s="31"/>
      <c r="AB30" s="31"/>
    </row>
    <row r="31" spans="1:28" x14ac:dyDescent="0.2">
      <c r="A31" s="31"/>
      <c r="B31" s="31"/>
      <c r="C31" s="31"/>
      <c r="D31" s="31"/>
      <c r="E31" s="31"/>
      <c r="F31" s="31"/>
      <c r="G31" s="31"/>
      <c r="H31" s="31"/>
      <c r="I31" s="31"/>
      <c r="J31" s="31"/>
      <c r="K31" s="31"/>
      <c r="L31" s="31"/>
      <c r="M31" s="31"/>
      <c r="N31" s="31"/>
      <c r="O31" s="31"/>
      <c r="P31" s="31" t="str">
        <v>C0007</v>
      </c>
      <c r="Q31" s="38">
        <v>1598</v>
      </c>
      <c r="R31" s="38">
        <v>1907</v>
      </c>
      <c r="S31" s="38">
        <v>869</v>
      </c>
      <c r="T31" s="38">
        <v>1426</v>
      </c>
      <c r="U31" s="38">
        <v>1416</v>
      </c>
      <c r="V31" s="37">
        <v>7216</v>
      </c>
      <c r="W31" s="31"/>
      <c r="X31" s="31"/>
      <c r="Y31" s="31"/>
      <c r="Z31" s="31"/>
      <c r="AA31" s="31"/>
      <c r="AB31" s="31"/>
    </row>
    <row r="32" spans="1:28" x14ac:dyDescent="0.2">
      <c r="A32" s="31"/>
      <c r="B32" s="31"/>
      <c r="C32" s="31"/>
      <c r="D32" s="31"/>
      <c r="E32" s="31"/>
      <c r="F32" s="31"/>
      <c r="G32" s="31"/>
      <c r="H32" s="31"/>
      <c r="I32" s="31"/>
      <c r="J32" s="31"/>
      <c r="K32" s="31"/>
      <c r="L32" s="31"/>
      <c r="M32" s="31"/>
      <c r="N32" s="31"/>
      <c r="O32" s="31"/>
      <c r="P32" s="31" t="str">
        <v>C0008</v>
      </c>
      <c r="Q32" s="38">
        <v>900</v>
      </c>
      <c r="R32" s="38">
        <v>1016</v>
      </c>
      <c r="S32" s="38">
        <v>960</v>
      </c>
      <c r="T32" s="38">
        <v>940</v>
      </c>
      <c r="U32" s="38">
        <v>1193</v>
      </c>
      <c r="V32" s="37">
        <v>5009</v>
      </c>
      <c r="W32" s="31"/>
      <c r="X32" s="31"/>
      <c r="Y32" s="31"/>
      <c r="Z32" s="31"/>
      <c r="AA32" s="31"/>
      <c r="AB32" s="31"/>
    </row>
    <row r="33" spans="1:28" x14ac:dyDescent="0.2">
      <c r="A33" s="31"/>
      <c r="B33" s="31"/>
      <c r="C33" s="31"/>
      <c r="D33" s="31"/>
      <c r="E33" s="31"/>
      <c r="F33" s="31"/>
      <c r="G33" s="31"/>
      <c r="H33" s="31"/>
      <c r="I33" s="31"/>
      <c r="J33" s="31"/>
      <c r="K33" s="31"/>
      <c r="L33" s="31"/>
      <c r="M33" s="31"/>
      <c r="N33" s="31"/>
      <c r="O33" s="31"/>
      <c r="P33" s="31" t="str">
        <v>C0010</v>
      </c>
      <c r="Q33" s="38">
        <v>900</v>
      </c>
      <c r="R33" s="38">
        <v>1470</v>
      </c>
      <c r="S33" s="38">
        <v>1617</v>
      </c>
      <c r="T33" s="38">
        <v>1314</v>
      </c>
      <c r="U33" s="38">
        <v>941</v>
      </c>
      <c r="V33" s="37">
        <v>6242</v>
      </c>
      <c r="W33" s="31"/>
      <c r="X33" s="31"/>
      <c r="Y33" s="31"/>
      <c r="Z33" s="31"/>
      <c r="AA33" s="31"/>
      <c r="AB33" s="31"/>
    </row>
    <row r="34" spans="1:28" x14ac:dyDescent="0.2">
      <c r="A34" s="31"/>
      <c r="B34" s="31"/>
      <c r="C34" s="31"/>
      <c r="D34" s="31"/>
      <c r="E34" s="31"/>
      <c r="F34" s="31"/>
      <c r="G34" s="31"/>
      <c r="H34" s="31"/>
      <c r="I34" s="31"/>
      <c r="J34" s="31"/>
      <c r="K34" s="31"/>
      <c r="L34" s="31"/>
      <c r="M34" s="31"/>
      <c r="N34" s="31"/>
      <c r="O34" s="31"/>
      <c r="P34" s="31" t="str">
        <v>C0013</v>
      </c>
      <c r="Q34" s="38">
        <v>1255</v>
      </c>
      <c r="R34" s="38">
        <v>516</v>
      </c>
      <c r="S34" s="38">
        <v>1874</v>
      </c>
      <c r="T34" s="38">
        <v>1863</v>
      </c>
      <c r="U34" s="38">
        <v>1722</v>
      </c>
      <c r="V34" s="37">
        <v>7230</v>
      </c>
      <c r="W34" s="31"/>
      <c r="X34" s="31"/>
      <c r="Y34" s="31"/>
      <c r="Z34" s="31"/>
      <c r="AA34" s="31"/>
      <c r="AB34" s="31"/>
    </row>
    <row r="35" spans="1:28" x14ac:dyDescent="0.2">
      <c r="A35" s="31"/>
      <c r="B35" s="31"/>
      <c r="C35" s="31"/>
      <c r="D35" s="31"/>
      <c r="E35" s="31"/>
      <c r="F35" s="31"/>
      <c r="G35" s="31"/>
      <c r="H35" s="31"/>
      <c r="I35" s="31"/>
      <c r="J35" s="31"/>
      <c r="K35" s="31"/>
      <c r="L35" s="31"/>
      <c r="M35" s="31"/>
      <c r="N35" s="31"/>
      <c r="O35" s="31"/>
      <c r="P35" s="31" t="str">
        <v>C0015</v>
      </c>
      <c r="Q35" s="38">
        <v>1138</v>
      </c>
      <c r="R35" s="38">
        <v>1898</v>
      </c>
      <c r="S35" s="38">
        <v>1482</v>
      </c>
      <c r="T35" s="38">
        <v>846</v>
      </c>
      <c r="U35" s="38">
        <v>1154</v>
      </c>
      <c r="V35" s="37">
        <v>6518</v>
      </c>
      <c r="W35" s="31"/>
      <c r="X35" s="31"/>
      <c r="Y35" s="31"/>
      <c r="Z35" s="31"/>
      <c r="AA35" s="31"/>
      <c r="AB35" s="31"/>
    </row>
    <row r="36" spans="1:28" x14ac:dyDescent="0.2">
      <c r="A36" s="31"/>
      <c r="B36" s="31"/>
      <c r="C36" s="31"/>
      <c r="D36" s="31"/>
      <c r="E36" s="31"/>
      <c r="F36" s="31"/>
      <c r="G36" s="31"/>
      <c r="H36" s="31"/>
      <c r="I36" s="31"/>
      <c r="J36" s="31"/>
      <c r="K36" s="31"/>
      <c r="L36" s="31"/>
      <c r="M36" s="31"/>
      <c r="N36" s="31"/>
      <c r="O36" s="31"/>
      <c r="P36" s="31" t="str">
        <v>Columbus</v>
      </c>
      <c r="Q36" s="38" t="str">
        <v/>
      </c>
      <c r="R36" s="38" t="str">
        <v/>
      </c>
      <c r="S36" s="38" t="str">
        <v/>
      </c>
      <c r="T36" s="38" t="str">
        <v/>
      </c>
      <c r="U36" s="38" t="str">
        <v/>
      </c>
      <c r="V36" s="37" t="str">
        <v/>
      </c>
      <c r="W36" s="31"/>
      <c r="X36" s="31"/>
      <c r="Y36" s="31"/>
      <c r="Z36" s="31"/>
      <c r="AA36" s="31"/>
      <c r="AB36" s="31"/>
    </row>
    <row r="37" spans="1:28" x14ac:dyDescent="0.2">
      <c r="A37" s="31"/>
      <c r="B37" s="31"/>
      <c r="C37" s="31"/>
      <c r="D37" s="31"/>
      <c r="E37" s="31"/>
      <c r="F37" s="31"/>
      <c r="G37" s="31"/>
      <c r="H37" s="31"/>
      <c r="I37" s="31"/>
      <c r="J37" s="31"/>
      <c r="K37" s="31"/>
      <c r="L37" s="31"/>
      <c r="M37" s="40" t="e" vm="2">
        <f>Sheet4!I83</f>
        <v>#VALUE!</v>
      </c>
      <c r="N37" s="40"/>
      <c r="O37" s="31"/>
      <c r="P37" s="31" t="str">
        <v>C0001</v>
      </c>
      <c r="Q37" s="38">
        <v>1655</v>
      </c>
      <c r="R37" s="38">
        <v>805</v>
      </c>
      <c r="S37" s="38">
        <v>2263</v>
      </c>
      <c r="T37" s="38">
        <v>987</v>
      </c>
      <c r="U37" s="38">
        <v>1075</v>
      </c>
      <c r="V37" s="37">
        <v>6785</v>
      </c>
      <c r="W37" s="31"/>
      <c r="X37" s="31"/>
      <c r="Y37" s="31"/>
      <c r="Z37" s="31"/>
      <c r="AA37" s="31"/>
      <c r="AB37" s="31"/>
    </row>
    <row r="38" spans="1:28" x14ac:dyDescent="0.2">
      <c r="A38" s="31"/>
      <c r="B38" s="31"/>
      <c r="C38" s="31"/>
      <c r="D38" s="31"/>
      <c r="E38" s="31"/>
      <c r="F38" s="31"/>
      <c r="G38" s="31"/>
      <c r="H38" s="31"/>
      <c r="I38" s="31"/>
      <c r="J38" s="31"/>
      <c r="K38" s="31"/>
      <c r="L38" s="31"/>
      <c r="M38" s="40"/>
      <c r="N38" s="40"/>
      <c r="O38" s="31"/>
      <c r="P38" s="31" t="str">
        <v>C0005</v>
      </c>
      <c r="Q38" s="38">
        <v>1104</v>
      </c>
      <c r="R38" s="38">
        <v>2280</v>
      </c>
      <c r="S38" s="38">
        <v>1445</v>
      </c>
      <c r="T38" s="38">
        <v>1722</v>
      </c>
      <c r="U38" s="38">
        <v>1196</v>
      </c>
      <c r="V38" s="37">
        <v>7747</v>
      </c>
      <c r="W38" s="31"/>
      <c r="X38" s="31"/>
      <c r="Y38" s="31"/>
      <c r="Z38" s="31"/>
      <c r="AA38" s="31"/>
      <c r="AB38" s="31"/>
    </row>
    <row r="39" spans="1:28" x14ac:dyDescent="0.2">
      <c r="A39" s="31"/>
      <c r="B39" s="31"/>
      <c r="C39" s="31"/>
      <c r="D39" s="31"/>
      <c r="E39" s="31"/>
      <c r="F39" s="31"/>
      <c r="G39" s="31"/>
      <c r="H39" s="31"/>
      <c r="I39" s="31"/>
      <c r="J39" s="31"/>
      <c r="K39" s="31"/>
      <c r="L39" s="31"/>
      <c r="M39" s="40"/>
      <c r="N39" s="40"/>
      <c r="O39" s="31"/>
      <c r="P39" s="31" t="str">
        <v>C0006</v>
      </c>
      <c r="Q39" s="38">
        <v>372</v>
      </c>
      <c r="R39" s="38">
        <v>1818</v>
      </c>
      <c r="S39" s="38">
        <v>1346</v>
      </c>
      <c r="T39" s="38">
        <v>1156</v>
      </c>
      <c r="U39" s="38">
        <v>1484</v>
      </c>
      <c r="V39" s="37">
        <v>6176</v>
      </c>
      <c r="W39" s="31"/>
      <c r="X39" s="31"/>
      <c r="Y39" s="31"/>
      <c r="Z39" s="31"/>
      <c r="AA39" s="31"/>
      <c r="AB39" s="31"/>
    </row>
    <row r="40" spans="1:28" x14ac:dyDescent="0.2">
      <c r="A40" s="31"/>
      <c r="B40" s="31"/>
      <c r="C40" s="31"/>
      <c r="D40" s="31"/>
      <c r="E40" s="31"/>
      <c r="F40" s="31"/>
      <c r="G40" s="31"/>
      <c r="H40" s="31"/>
      <c r="I40" s="31"/>
      <c r="J40" s="31"/>
      <c r="K40" s="31"/>
      <c r="L40" s="31"/>
      <c r="M40" s="40"/>
      <c r="N40" s="40"/>
      <c r="O40" s="31"/>
      <c r="P40" s="31" t="str">
        <v>C0009</v>
      </c>
      <c r="Q40" s="38">
        <v>1415</v>
      </c>
      <c r="R40" s="38">
        <v>1271</v>
      </c>
      <c r="S40" s="38">
        <v>1214</v>
      </c>
      <c r="T40" s="38">
        <v>1135</v>
      </c>
      <c r="U40" s="38">
        <v>1566</v>
      </c>
      <c r="V40" s="37">
        <v>6601</v>
      </c>
      <c r="W40" s="31"/>
      <c r="X40" s="31"/>
      <c r="Y40" s="31"/>
      <c r="Z40" s="31"/>
      <c r="AA40" s="31"/>
      <c r="AB40" s="31"/>
    </row>
    <row r="41" spans="1:28" x14ac:dyDescent="0.2">
      <c r="A41" s="31"/>
      <c r="B41" s="31"/>
      <c r="C41" s="31"/>
      <c r="D41" s="31"/>
      <c r="E41" s="31"/>
      <c r="F41" s="31"/>
      <c r="G41" s="31"/>
      <c r="H41" s="31"/>
      <c r="I41" s="31"/>
      <c r="J41" s="31"/>
      <c r="K41" s="31"/>
      <c r="L41" s="31"/>
      <c r="M41" s="40"/>
      <c r="N41" s="40"/>
      <c r="O41" s="31"/>
      <c r="P41" s="31" t="str">
        <v>C0014</v>
      </c>
      <c r="Q41" s="38">
        <v>1362</v>
      </c>
      <c r="R41" s="38">
        <v>1363</v>
      </c>
      <c r="S41" s="38">
        <v>1152</v>
      </c>
      <c r="T41" s="38">
        <v>777</v>
      </c>
      <c r="U41" s="38">
        <v>750</v>
      </c>
      <c r="V41" s="37">
        <v>5404</v>
      </c>
      <c r="W41" s="31"/>
      <c r="X41" s="31"/>
      <c r="Y41" s="31"/>
      <c r="Z41" s="31"/>
      <c r="AA41" s="31"/>
      <c r="AB41" s="31"/>
    </row>
    <row r="42" spans="1:28" x14ac:dyDescent="0.2">
      <c r="A42" s="31"/>
      <c r="B42" s="31"/>
      <c r="C42" s="31"/>
      <c r="D42" s="31"/>
      <c r="E42" s="31"/>
      <c r="F42" s="31"/>
      <c r="G42" s="31"/>
      <c r="H42" s="31"/>
      <c r="I42" s="31"/>
      <c r="J42" s="31"/>
      <c r="K42" s="31"/>
      <c r="L42" s="31"/>
      <c r="M42" s="40" t="str">
        <f>Sheet4!I78</f>
        <v>% of calls:19%</v>
      </c>
      <c r="N42" s="40"/>
      <c r="O42" s="31"/>
      <c r="P42" s="31"/>
      <c r="Q42" s="31"/>
      <c r="R42" s="31"/>
      <c r="S42" s="31"/>
      <c r="T42" s="31"/>
      <c r="U42" s="31"/>
      <c r="V42" s="31"/>
      <c r="W42" s="31"/>
      <c r="X42" s="31"/>
      <c r="Y42" s="31"/>
      <c r="Z42" s="31"/>
      <c r="AA42" s="31"/>
      <c r="AB42" s="31"/>
    </row>
    <row r="43" spans="1:28" x14ac:dyDescent="0.2">
      <c r="A43" s="31"/>
      <c r="B43" s="31"/>
      <c r="C43" s="31"/>
      <c r="D43" s="31"/>
      <c r="E43" s="31"/>
      <c r="F43" s="31"/>
      <c r="G43" s="31"/>
      <c r="H43" s="31"/>
      <c r="I43" s="31"/>
      <c r="J43" s="31"/>
      <c r="K43" s="31"/>
      <c r="L43" s="31"/>
      <c r="M43" s="40" t="str">
        <f>Sheet4!I79</f>
        <v>call rank:4</v>
      </c>
      <c r="N43" s="40"/>
      <c r="O43" s="31"/>
      <c r="P43" s="31"/>
      <c r="Q43" s="31"/>
      <c r="R43" s="31"/>
      <c r="S43" s="31"/>
      <c r="T43" s="31"/>
      <c r="U43" s="31"/>
      <c r="V43" s="31"/>
      <c r="W43" s="31"/>
      <c r="X43" s="31"/>
      <c r="Y43" s="31"/>
      <c r="Z43" s="31"/>
      <c r="AA43" s="31"/>
      <c r="AB43" s="31"/>
    </row>
    <row r="44" spans="1:28" x14ac:dyDescent="0.2">
      <c r="A44" s="31"/>
      <c r="B44" s="31"/>
      <c r="C44" s="31"/>
      <c r="D44" s="31"/>
      <c r="E44" s="31"/>
      <c r="F44" s="31"/>
      <c r="G44" s="31"/>
      <c r="H44" s="31"/>
      <c r="I44" s="31"/>
      <c r="J44" s="31"/>
      <c r="K44" s="31"/>
      <c r="L44" s="31"/>
      <c r="M44" s="40" t="str">
        <f>Sheet4!I80</f>
        <v>Amount rank:4</v>
      </c>
      <c r="N44" s="40"/>
      <c r="O44" s="31"/>
      <c r="P44" s="31"/>
      <c r="Q44" s="31"/>
      <c r="R44" s="31"/>
      <c r="S44" s="31"/>
      <c r="T44" s="31"/>
      <c r="U44" s="31"/>
      <c r="V44" s="31"/>
      <c r="W44" s="31"/>
      <c r="X44" s="31"/>
      <c r="Y44" s="31"/>
      <c r="Z44" s="31"/>
      <c r="AA44" s="31"/>
      <c r="AB44" s="31"/>
    </row>
    <row r="45" spans="1:28" x14ac:dyDescent="0.2">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row>
    <row r="46" spans="1:28" x14ac:dyDescent="0.2">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row>
    <row r="47" spans="1:28" x14ac:dyDescent="0.2">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row>
    <row r="48" spans="1:28" x14ac:dyDescent="0.2">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row>
    <row r="49" spans="1:28" x14ac:dyDescent="0.2">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row>
    <row r="50" spans="1:28" x14ac:dyDescent="0.2">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row>
    <row r="51" spans="1:28" x14ac:dyDescent="0.2">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row>
    <row r="52" spans="1:28" x14ac:dyDescent="0.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row>
    <row r="53" spans="1:28" x14ac:dyDescent="0.2">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row>
    <row r="54" spans="1:28" x14ac:dyDescent="0.2">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row>
    <row r="55" spans="1:28" x14ac:dyDescent="0.2">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row>
    <row r="56" spans="1:28" x14ac:dyDescent="0.2">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row>
    <row r="57" spans="1:28" x14ac:dyDescent="0.2">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row>
    <row r="58" spans="1:28" x14ac:dyDescent="0.2">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row>
    <row r="59" spans="1:28" x14ac:dyDescent="0.2">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row>
    <row r="60" spans="1:28" x14ac:dyDescent="0.2">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row>
    <row r="61" spans="1:28" x14ac:dyDescent="0.2">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row>
    <row r="62" spans="1:28" x14ac:dyDescent="0.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row>
    <row r="63" spans="1:28" x14ac:dyDescent="0.2">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row>
    <row r="64" spans="1:28" x14ac:dyDescent="0.2">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row>
    <row r="65" spans="1:28" x14ac:dyDescent="0.2">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row>
    <row r="66" spans="1:28" x14ac:dyDescent="0.2">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row>
    <row r="67" spans="1:28" x14ac:dyDescent="0.2">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row>
    <row r="68" spans="1:28" x14ac:dyDescent="0.2">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row>
    <row r="69" spans="1:28" x14ac:dyDescent="0.2">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row>
    <row r="70" spans="1:28" x14ac:dyDescent="0.2">
      <c r="X70" s="31"/>
      <c r="Y70" s="31"/>
      <c r="Z70" s="31"/>
      <c r="AA70" s="31"/>
      <c r="AB70" s="31"/>
    </row>
    <row r="71" spans="1:28" x14ac:dyDescent="0.2">
      <c r="X71" s="31"/>
      <c r="Y71" s="31"/>
      <c r="Z71" s="31"/>
      <c r="AA71" s="31"/>
      <c r="AB71" s="31"/>
    </row>
    <row r="72" spans="1:28" x14ac:dyDescent="0.2">
      <c r="X72" s="31"/>
      <c r="Y72" s="31"/>
      <c r="Z72" s="31"/>
      <c r="AA72" s="31"/>
      <c r="AB72" s="31"/>
    </row>
    <row r="73" spans="1:28" x14ac:dyDescent="0.2">
      <c r="X73" s="31"/>
      <c r="Y73" s="31"/>
      <c r="Z73" s="31"/>
      <c r="AA73" s="31"/>
      <c r="AB73" s="31"/>
    </row>
    <row r="74" spans="1:28" x14ac:dyDescent="0.2">
      <c r="X74" s="31"/>
      <c r="Y74" s="31"/>
      <c r="Z74" s="31"/>
      <c r="AA74" s="31"/>
      <c r="AB74" s="31"/>
    </row>
    <row r="75" spans="1:28" x14ac:dyDescent="0.2">
      <c r="X75" s="31"/>
      <c r="Y75" s="31"/>
      <c r="Z75" s="31"/>
      <c r="AA75" s="31"/>
      <c r="AB75" s="31"/>
    </row>
    <row r="76" spans="1:28" x14ac:dyDescent="0.2">
      <c r="X76" s="31"/>
      <c r="Y76" s="31"/>
      <c r="Z76" s="31"/>
      <c r="AA76" s="31"/>
      <c r="AB76" s="31"/>
    </row>
    <row r="77" spans="1:28" x14ac:dyDescent="0.2">
      <c r="X77" s="31"/>
      <c r="Y77" s="31"/>
      <c r="Z77" s="31"/>
      <c r="AA77" s="31"/>
      <c r="AB77" s="31"/>
    </row>
    <row r="78" spans="1:28" x14ac:dyDescent="0.2">
      <c r="X78" s="31"/>
      <c r="Y78" s="31"/>
      <c r="Z78" s="31"/>
      <c r="AA78" s="31"/>
      <c r="AB78" s="31"/>
    </row>
    <row r="79" spans="1:28" x14ac:dyDescent="0.2">
      <c r="X79" s="31"/>
      <c r="Y79" s="31"/>
      <c r="Z79" s="31"/>
      <c r="AA79" s="31"/>
      <c r="AB79" s="31"/>
    </row>
    <row r="80" spans="1:28" x14ac:dyDescent="0.2">
      <c r="X80" s="31"/>
      <c r="Y80" s="31"/>
      <c r="Z80" s="31"/>
      <c r="AA80" s="31"/>
      <c r="AB80" s="31"/>
    </row>
    <row r="81" spans="24:28" x14ac:dyDescent="0.2">
      <c r="X81" s="31"/>
      <c r="Y81" s="31"/>
      <c r="Z81" s="31"/>
      <c r="AA81" s="31"/>
      <c r="AB81" s="31"/>
    </row>
    <row r="82" spans="24:28" x14ac:dyDescent="0.2">
      <c r="X82" s="31"/>
      <c r="Y82" s="31"/>
      <c r="Z82" s="31"/>
      <c r="AA82" s="31"/>
      <c r="AB82" s="31"/>
    </row>
    <row r="83" spans="24:28" x14ac:dyDescent="0.2">
      <c r="X83" s="31"/>
      <c r="Y83" s="31"/>
      <c r="Z83" s="31"/>
      <c r="AA83" s="31"/>
      <c r="AB83" s="31"/>
    </row>
    <row r="84" spans="24:28" x14ac:dyDescent="0.2">
      <c r="X84" s="31"/>
      <c r="Y84" s="31"/>
      <c r="Z84" s="31"/>
      <c r="AA84" s="31"/>
      <c r="AB84" s="31"/>
    </row>
    <row r="85" spans="24:28" x14ac:dyDescent="0.2">
      <c r="X85" s="31"/>
      <c r="Y85" s="31"/>
      <c r="Z85" s="31"/>
      <c r="AA85" s="31"/>
      <c r="AB85" s="31"/>
    </row>
    <row r="86" spans="24:28" x14ac:dyDescent="0.2">
      <c r="X86" s="31"/>
      <c r="Y86" s="31"/>
      <c r="Z86" s="31"/>
      <c r="AA86" s="31"/>
      <c r="AB86" s="31"/>
    </row>
    <row r="87" spans="24:28" x14ac:dyDescent="0.2">
      <c r="X87" s="31"/>
      <c r="Y87" s="31"/>
      <c r="Z87" s="31"/>
      <c r="AA87" s="31"/>
      <c r="AB87" s="31"/>
    </row>
    <row r="88" spans="24:28" x14ac:dyDescent="0.2">
      <c r="X88" s="31"/>
      <c r="Y88" s="31"/>
      <c r="Z88" s="31"/>
      <c r="AA88" s="31"/>
      <c r="AB88" s="31"/>
    </row>
    <row r="89" spans="24:28" x14ac:dyDescent="0.2">
      <c r="X89" s="31"/>
      <c r="Y89" s="31"/>
      <c r="Z89" s="31"/>
      <c r="AA89" s="31"/>
      <c r="AB89" s="31"/>
    </row>
    <row r="90" spans="24:28" x14ac:dyDescent="0.2">
      <c r="X90" s="31"/>
      <c r="Y90" s="31"/>
      <c r="Z90" s="31"/>
      <c r="AA90" s="31"/>
      <c r="AB90" s="31"/>
    </row>
    <row r="91" spans="24:28" x14ac:dyDescent="0.2">
      <c r="X91" s="31"/>
      <c r="Y91" s="31"/>
      <c r="Z91" s="31"/>
      <c r="AA91" s="31"/>
      <c r="AB91" s="31"/>
    </row>
    <row r="92" spans="24:28" x14ac:dyDescent="0.2">
      <c r="X92" s="31"/>
      <c r="Y92" s="31"/>
      <c r="Z92" s="31"/>
      <c r="AA92" s="31"/>
      <c r="AB92" s="31"/>
    </row>
    <row r="93" spans="24:28" x14ac:dyDescent="0.2">
      <c r="X93" s="31"/>
      <c r="Y93" s="31"/>
      <c r="Z93" s="31"/>
      <c r="AA93" s="31"/>
      <c r="AB93" s="31"/>
    </row>
    <row r="94" spans="24:28" x14ac:dyDescent="0.2">
      <c r="X94" s="31"/>
      <c r="Y94" s="31"/>
      <c r="Z94" s="31"/>
      <c r="AA94" s="31"/>
      <c r="AB94" s="31"/>
    </row>
    <row r="95" spans="24:28" x14ac:dyDescent="0.2">
      <c r="X95" s="31"/>
      <c r="Y95" s="31"/>
      <c r="Z95" s="31"/>
      <c r="AA95" s="31"/>
      <c r="AB95" s="31"/>
    </row>
    <row r="96" spans="24:28" x14ac:dyDescent="0.2">
      <c r="X96" s="31"/>
      <c r="Y96" s="31"/>
      <c r="Z96" s="31"/>
      <c r="AA96" s="31"/>
      <c r="AB96" s="31"/>
    </row>
    <row r="97" spans="24:28" x14ac:dyDescent="0.2">
      <c r="X97" s="31"/>
      <c r="Y97" s="31"/>
      <c r="Z97" s="31"/>
      <c r="AA97" s="31"/>
      <c r="AB97" s="31"/>
    </row>
    <row r="98" spans="24:28" x14ac:dyDescent="0.2">
      <c r="X98" s="31"/>
      <c r="Y98" s="31"/>
      <c r="Z98" s="31"/>
      <c r="AA98" s="31"/>
      <c r="AB98" s="31"/>
    </row>
    <row r="99" spans="24:28" x14ac:dyDescent="0.2">
      <c r="X99" s="31"/>
      <c r="Y99" s="31"/>
      <c r="Z99" s="31"/>
      <c r="AA99" s="31"/>
      <c r="AB99" s="31"/>
    </row>
    <row r="100" spans="24:28" x14ac:dyDescent="0.2">
      <c r="X100" s="31"/>
      <c r="Y100" s="31"/>
      <c r="Z100" s="31"/>
      <c r="AA100" s="31"/>
      <c r="AB100" s="31"/>
    </row>
    <row r="101" spans="24:28" x14ac:dyDescent="0.2">
      <c r="X101" s="31"/>
      <c r="Y101" s="31"/>
      <c r="Z101" s="31"/>
      <c r="AA101" s="31"/>
      <c r="AB101" s="31"/>
    </row>
    <row r="102" spans="24:28" x14ac:dyDescent="0.2">
      <c r="X102" s="31"/>
      <c r="Y102" s="31"/>
      <c r="Z102" s="31"/>
      <c r="AA102" s="31"/>
      <c r="AB102" s="31"/>
    </row>
    <row r="103" spans="24:28" x14ac:dyDescent="0.2">
      <c r="X103" s="31"/>
      <c r="Y103" s="31"/>
      <c r="Z103" s="31"/>
      <c r="AA103" s="31"/>
      <c r="AB103" s="31"/>
    </row>
    <row r="104" spans="24:28" x14ac:dyDescent="0.2">
      <c r="X104" s="31"/>
      <c r="Y104" s="31"/>
      <c r="Z104" s="31"/>
      <c r="AA104" s="31"/>
      <c r="AB104" s="31"/>
    </row>
    <row r="105" spans="24:28" x14ac:dyDescent="0.2">
      <c r="X105" s="31"/>
      <c r="Y105" s="31"/>
      <c r="Z105" s="31"/>
      <c r="AA105" s="31"/>
      <c r="AB105" s="31"/>
    </row>
    <row r="106" spans="24:28" x14ac:dyDescent="0.2">
      <c r="X106" s="31"/>
      <c r="Y106" s="31"/>
      <c r="Z106" s="31"/>
      <c r="AA106" s="31"/>
      <c r="AB106" s="31"/>
    </row>
    <row r="107" spans="24:28" x14ac:dyDescent="0.2">
      <c r="X107" s="31"/>
      <c r="Y107" s="31"/>
      <c r="Z107" s="31"/>
      <c r="AA107" s="31"/>
      <c r="AB107" s="31"/>
    </row>
    <row r="108" spans="24:28" x14ac:dyDescent="0.2">
      <c r="X108" s="31"/>
      <c r="Y108" s="31"/>
      <c r="Z108" s="31"/>
      <c r="AA108" s="31"/>
      <c r="AB108" s="31"/>
    </row>
    <row r="109" spans="24:28" x14ac:dyDescent="0.2">
      <c r="X109" s="31"/>
      <c r="Y109" s="31"/>
      <c r="Z109" s="31"/>
      <c r="AA109" s="31"/>
      <c r="AB109" s="31"/>
    </row>
    <row r="110" spans="24:28" x14ac:dyDescent="0.2">
      <c r="X110" s="31"/>
      <c r="Y110" s="31"/>
      <c r="Z110" s="31"/>
      <c r="AA110" s="31"/>
      <c r="AB110" s="31"/>
    </row>
    <row r="111" spans="24:28" x14ac:dyDescent="0.2">
      <c r="X111" s="31"/>
      <c r="Y111" s="31"/>
      <c r="Z111" s="31"/>
      <c r="AA111" s="31"/>
      <c r="AB111" s="31"/>
    </row>
    <row r="112" spans="24:28" x14ac:dyDescent="0.2">
      <c r="X112" s="31"/>
      <c r="Y112" s="31"/>
      <c r="Z112" s="31"/>
      <c r="AA112" s="31"/>
      <c r="AB112" s="31"/>
    </row>
    <row r="113" spans="24:28" x14ac:dyDescent="0.2">
      <c r="X113" s="31"/>
      <c r="Y113" s="31"/>
      <c r="Z113" s="31"/>
      <c r="AA113" s="31"/>
      <c r="AB113" s="31"/>
    </row>
    <row r="114" spans="24:28" x14ac:dyDescent="0.2">
      <c r="X114" s="31"/>
      <c r="Y114" s="31"/>
      <c r="Z114" s="31"/>
      <c r="AA114" s="31"/>
      <c r="AB114" s="31"/>
    </row>
    <row r="115" spans="24:28" x14ac:dyDescent="0.2">
      <c r="X115" s="31"/>
      <c r="Y115" s="31"/>
      <c r="Z115" s="31"/>
      <c r="AA115" s="31"/>
      <c r="AB115" s="31"/>
    </row>
    <row r="116" spans="24:28" x14ac:dyDescent="0.2">
      <c r="X116" s="31"/>
      <c r="Y116" s="31"/>
      <c r="Z116" s="31"/>
      <c r="AA116" s="31"/>
      <c r="AB116" s="31"/>
    </row>
    <row r="117" spans="24:28" x14ac:dyDescent="0.2">
      <c r="X117" s="31"/>
      <c r="Y117" s="31"/>
      <c r="Z117" s="31"/>
      <c r="AA117" s="31"/>
      <c r="AB117" s="31"/>
    </row>
    <row r="118" spans="24:28" x14ac:dyDescent="0.2">
      <c r="X118" s="31"/>
      <c r="Y118" s="31"/>
      <c r="Z118" s="31"/>
      <c r="AA118" s="31"/>
      <c r="AB118" s="31"/>
    </row>
    <row r="119" spans="24:28" x14ac:dyDescent="0.2">
      <c r="X119" s="31"/>
      <c r="Y119" s="31"/>
      <c r="Z119" s="31"/>
      <c r="AA119" s="31"/>
      <c r="AB119" s="31"/>
    </row>
    <row r="120" spans="24:28" x14ac:dyDescent="0.2">
      <c r="X120" s="31"/>
      <c r="Y120" s="31"/>
      <c r="Z120" s="31"/>
      <c r="AA120" s="31"/>
      <c r="AB120" s="31"/>
    </row>
    <row r="121" spans="24:28" x14ac:dyDescent="0.2">
      <c r="X121" s="31"/>
      <c r="Y121" s="31"/>
      <c r="Z121" s="31"/>
      <c r="AA121" s="31"/>
      <c r="AB121" s="31"/>
    </row>
    <row r="122" spans="24:28" x14ac:dyDescent="0.2">
      <c r="X122" s="31"/>
      <c r="Y122" s="31"/>
      <c r="Z122" s="31"/>
      <c r="AA122" s="31"/>
      <c r="AB122" s="31"/>
    </row>
    <row r="123" spans="24:28" x14ac:dyDescent="0.2">
      <c r="X123" s="31"/>
      <c r="Y123" s="31"/>
      <c r="Z123" s="31"/>
      <c r="AA123" s="31"/>
      <c r="AB123" s="31"/>
    </row>
    <row r="124" spans="24:28" x14ac:dyDescent="0.2">
      <c r="X124" s="31"/>
      <c r="Y124" s="31"/>
      <c r="Z124" s="31"/>
      <c r="AA124" s="31"/>
      <c r="AB124" s="31"/>
    </row>
    <row r="125" spans="24:28" x14ac:dyDescent="0.2">
      <c r="X125" s="31"/>
      <c r="Y125" s="31"/>
      <c r="Z125" s="31"/>
      <c r="AA125" s="31"/>
      <c r="AB125" s="31"/>
    </row>
  </sheetData>
  <mergeCells count="4">
    <mergeCell ref="M37:N41"/>
    <mergeCell ref="M42:N42"/>
    <mergeCell ref="M43:N43"/>
    <mergeCell ref="M44:N44"/>
  </mergeCells>
  <conditionalFormatting sqref="Q25:U41">
    <cfRule type="dataBar" priority="2">
      <dataBar>
        <cfvo type="num" val="0"/>
        <cfvo type="formula" val="MAX($Q$25:$U$41)*2"/>
        <color theme="1"/>
      </dataBar>
      <extLst>
        <ext xmlns:x14="http://schemas.microsoft.com/office/spreadsheetml/2009/9/main" uri="{B025F937-C7B1-47D3-B67F-A62EFF666E3E}">
          <x14:id>{191FB2F6-8429-7C4D-8129-47BDD02E93D8}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lorScale" priority="1" id="{795EBB2D-1CF9-8240-8206-B3F183ED2386}">
            <x14:colorScale>
              <x14:cfvo type="formula">
                <xm:f>Sheet4!$E$2951</xm:f>
              </x14:cfvo>
              <x14:cfvo type="formula">
                <xm:f>Sheet4!$D$2951</xm:f>
              </x14:cfvo>
              <x14:color rgb="FFFF7128"/>
              <x14:color rgb="FFF17000"/>
            </x14:colorScale>
          </x14:cfRule>
          <x14:cfRule type="dataBar" id="{191FB2F6-8429-7C4D-8129-47BDD02E93D8}">
            <x14:dataBar minLength="0" maxLength="100" border="1" negativeBarBorderColorSameAsPositive="0">
              <x14:cfvo type="num">
                <xm:f>0</xm:f>
              </x14:cfvo>
              <x14:cfvo type="formula">
                <xm:f>MAX($Q$25:$U$41)*2</xm:f>
              </x14:cfvo>
              <x14:borderColor theme="1"/>
              <x14:negativeFillColor rgb="FFFF0000"/>
              <x14:negativeBorderColor rgb="FFFF0000"/>
              <x14:axisColor rgb="FF000000"/>
            </x14:dataBar>
          </x14:cfRule>
          <xm:sqref>Q25:U41</xm:sqref>
        </x14:conditionalFormatting>
      </x14:conditionalFormattings>
    </ex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3" sqref="F3"/>
    </sheetView>
  </sheetViews>
  <sheetFormatPr baseColWidth="10" defaultColWidth="8.83203125" defaultRowHeight="15" x14ac:dyDescent="0.2"/>
  <cols>
    <col min="5" max="5" width="10.83203125" customWidth="1"/>
    <col min="6" max="6" width="9.83203125" customWidth="1"/>
  </cols>
  <sheetData>
    <row r="2" spans="5:6" x14ac:dyDescent="0.2">
      <c r="E2" t="s">
        <v>1040</v>
      </c>
      <c r="F2" t="s">
        <v>1041</v>
      </c>
    </row>
    <row r="3" spans="5:6" ht="25.5" customHeight="1" x14ac:dyDescent="0.2">
      <c r="E3" t="s">
        <v>11</v>
      </c>
      <c r="F3" t="e" vm="3">
        <v>#VALUE!</v>
      </c>
    </row>
    <row r="4" spans="5:6" ht="25.5" customHeight="1" x14ac:dyDescent="0.2">
      <c r="E4" t="s">
        <v>9</v>
      </c>
      <c r="F4" t="e" vm="4">
        <v>#VALUE!</v>
      </c>
    </row>
    <row r="5" spans="5:6" ht="25.5" customHeight="1" x14ac:dyDescent="0.2">
      <c r="E5" t="s">
        <v>6</v>
      </c>
      <c r="F5" t="e" vm="5">
        <v>#VALUE!</v>
      </c>
    </row>
    <row r="6" spans="5:6" ht="25.5" customHeight="1" x14ac:dyDescent="0.2">
      <c r="E6" t="s">
        <v>13</v>
      </c>
      <c r="F6" t="e" vm="6">
        <v>#VALUE!</v>
      </c>
    </row>
    <row r="7" spans="5:6" ht="25.5" customHeight="1" x14ac:dyDescent="0.2">
      <c r="E7" t="s">
        <v>10</v>
      </c>
      <c r="F7" t="e" vm="7">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Data</vt:lpstr>
      <vt:lpstr>Dashboard</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Shiramdasu Abhiram</cp:lastModifiedBy>
  <dcterms:created xsi:type="dcterms:W3CDTF">2021-03-14T20:21:32Z</dcterms:created>
  <dcterms:modified xsi:type="dcterms:W3CDTF">2026-10-03T04:46:01Z</dcterms:modified>
</cp:coreProperties>
</file>